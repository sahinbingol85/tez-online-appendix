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n.bingol\Desktop\zero-age\Tahmin edilmiş Veri\2. Çalışma\"/>
    </mc:Choice>
  </mc:AlternateContent>
  <xr:revisionPtr revIDLastSave="0" documentId="13_ncr:1_{AFB11FEC-4AB3-4316-89B9-E3EE18322137}" xr6:coauthVersionLast="36" xr6:coauthVersionMax="36" xr10:uidLastSave="{00000000-0000-0000-0000-000000000000}"/>
  <bookViews>
    <workbookView xWindow="0" yWindow="0" windowWidth="28800" windowHeight="12240" firstSheet="1" activeTab="1" xr2:uid="{53C16B7C-1689-412A-9103-7F361450EFB3}"/>
  </bookViews>
  <sheets>
    <sheet name="Sayfa1" sheetId="1" state="hidden" r:id="rId1"/>
    <sheet name="0-AGE ESTIMATION" sheetId="2" r:id="rId2"/>
    <sheet name="İller" sheetId="3" state="hidden" r:id="rId3"/>
    <sheet name="Tek iller" sheetId="5" state="hidden" r:id="rId4"/>
    <sheet name="Ank-İst-İzm" sheetId="6" state="hidden" r:id="rId5"/>
    <sheet name="EKSİ ÇIKAN İLLER" sheetId="7" state="hidden" r:id="rId6"/>
  </sheets>
  <definedNames>
    <definedName name="_xlnm._FilterDatabase" localSheetId="1" hidden="1">'0-AGE ESTIMATION'!$A$1:$E$364</definedName>
    <definedName name="_xlnm._FilterDatabase" localSheetId="4" hidden="1">'Ank-İst-İzm'!$A$1:$E$216</definedName>
    <definedName name="_xlnm._FilterDatabase" localSheetId="5" hidden="1">'EKSİ ÇIKAN İLLER'!$A$1:$E$1</definedName>
    <definedName name="_xlnm._FilterDatabase" localSheetId="2">İller!$A$1:$D$2793</definedName>
    <definedName name="_xlnm._FilterDatabase" localSheetId="0" hidden="1">Sayfa1!$E$1:$G$150</definedName>
    <definedName name="_xlnm._FilterDatabase" localSheetId="3" hidden="1">'Tek iller'!$A$1:$D$128</definedName>
    <definedName name="_xlnm.Print_Area" localSheetId="1">'0-AGE ESTIMATION'!$A$1:$R$347</definedName>
    <definedName name="_xlnm.Print_Titles" localSheetId="1">'0-AGE ESTIMATION'!$1:$2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7" i="2" l="1"/>
  <c r="N197" i="2"/>
  <c r="M197" i="2"/>
  <c r="I524" i="7" l="1"/>
  <c r="H524" i="7"/>
  <c r="G524" i="7"/>
  <c r="F524" i="7"/>
  <c r="G514" i="7"/>
  <c r="F514" i="7"/>
  <c r="G509" i="7"/>
  <c r="F509" i="7"/>
  <c r="G504" i="7"/>
  <c r="F504" i="7"/>
  <c r="G499" i="7"/>
  <c r="F499" i="7"/>
  <c r="G118" i="5" l="1"/>
  <c r="G117" i="5" s="1"/>
  <c r="G116" i="5" s="1"/>
  <c r="H118" i="5"/>
  <c r="H117" i="5" s="1"/>
  <c r="H116" i="5" s="1"/>
  <c r="H119" i="5"/>
  <c r="G119" i="5"/>
  <c r="G122" i="5"/>
  <c r="G123" i="5" s="1"/>
  <c r="G124" i="5" s="1"/>
  <c r="G125" i="5" s="1"/>
  <c r="G126" i="5" s="1"/>
  <c r="G127" i="5" s="1"/>
  <c r="G128" i="5" s="1"/>
  <c r="H122" i="5"/>
  <c r="H123" i="5"/>
  <c r="H124" i="5" s="1"/>
  <c r="H125" i="5" s="1"/>
  <c r="H126" i="5" s="1"/>
  <c r="H127" i="5" s="1"/>
  <c r="H128" i="5" s="1"/>
  <c r="H121" i="5"/>
  <c r="G121" i="5"/>
  <c r="G105" i="5" l="1"/>
  <c r="G104" i="5" s="1"/>
  <c r="H105" i="5"/>
  <c r="H104" i="5" s="1"/>
  <c r="H106" i="5"/>
  <c r="G106" i="5"/>
  <c r="G109" i="5"/>
  <c r="G110" i="5" s="1"/>
  <c r="G111" i="5" s="1"/>
  <c r="G112" i="5" s="1"/>
  <c r="G113" i="5" s="1"/>
  <c r="G114" i="5" s="1"/>
  <c r="G115" i="5" s="1"/>
  <c r="H109" i="5"/>
  <c r="H110" i="5" s="1"/>
  <c r="H111" i="5" s="1"/>
  <c r="H112" i="5" s="1"/>
  <c r="H113" i="5" s="1"/>
  <c r="H114" i="5" s="1"/>
  <c r="H115" i="5" s="1"/>
  <c r="H108" i="5"/>
  <c r="G108" i="5"/>
  <c r="G97" i="5"/>
  <c r="H97" i="5"/>
  <c r="H98" i="5" s="1"/>
  <c r="H99" i="5" s="1"/>
  <c r="H100" i="5" s="1"/>
  <c r="H101" i="5" s="1"/>
  <c r="H102" i="5" s="1"/>
  <c r="H103" i="5" s="1"/>
  <c r="G98" i="5"/>
  <c r="G99" i="5" s="1"/>
  <c r="G100" i="5" s="1"/>
  <c r="G101" i="5" s="1"/>
  <c r="G102" i="5" s="1"/>
  <c r="G103" i="5" s="1"/>
  <c r="G93" i="5"/>
  <c r="G92" i="5" s="1"/>
  <c r="G91" i="5" s="1"/>
  <c r="H93" i="5"/>
  <c r="H92" i="5" s="1"/>
  <c r="H91" i="5" s="1"/>
  <c r="H94" i="5"/>
  <c r="G94" i="5"/>
  <c r="H96" i="5"/>
  <c r="G96" i="5"/>
  <c r="H83" i="5" l="1"/>
  <c r="H84" i="5" s="1"/>
  <c r="H85" i="5" s="1"/>
  <c r="H86" i="5" s="1"/>
  <c r="H87" i="5" s="1"/>
  <c r="H88" i="5" s="1"/>
  <c r="H89" i="5" s="1"/>
  <c r="H90" i="5" s="1"/>
  <c r="G83" i="5"/>
  <c r="G84" i="5" s="1"/>
  <c r="G85" i="5" s="1"/>
  <c r="G86" i="5" s="1"/>
  <c r="G87" i="5" s="1"/>
  <c r="G88" i="5" s="1"/>
  <c r="G89" i="5" s="1"/>
  <c r="G90" i="5" s="1"/>
  <c r="H81" i="5"/>
  <c r="H80" i="5" s="1"/>
  <c r="H79" i="5" s="1"/>
  <c r="H78" i="5" s="1"/>
  <c r="G81" i="5"/>
  <c r="G80" i="5" s="1"/>
  <c r="G79" i="5" s="1"/>
  <c r="G78" i="5" s="1"/>
  <c r="H70" i="5"/>
  <c r="H71" i="5" s="1"/>
  <c r="H72" i="5" s="1"/>
  <c r="H73" i="5" s="1"/>
  <c r="H74" i="5" s="1"/>
  <c r="H75" i="5" s="1"/>
  <c r="H76" i="5" s="1"/>
  <c r="H77" i="5" s="1"/>
  <c r="G70" i="5"/>
  <c r="G71" i="5" s="1"/>
  <c r="G72" i="5" s="1"/>
  <c r="G73" i="5" s="1"/>
  <c r="G74" i="5" s="1"/>
  <c r="G75" i="5" s="1"/>
  <c r="G76" i="5" s="1"/>
  <c r="G77" i="5" s="1"/>
  <c r="H68" i="5"/>
  <c r="H67" i="5" s="1"/>
  <c r="H66" i="5" s="1"/>
  <c r="H65" i="5" s="1"/>
  <c r="H64" i="5" s="1"/>
  <c r="H63" i="5" s="1"/>
  <c r="H62" i="5" s="1"/>
  <c r="G68" i="5"/>
  <c r="G67" i="5"/>
  <c r="G66" i="5" s="1"/>
  <c r="G65" i="5" s="1"/>
  <c r="G64" i="5" s="1"/>
  <c r="G63" i="5" s="1"/>
  <c r="G62" i="5" s="1"/>
  <c r="G55" i="5"/>
  <c r="G56" i="5" s="1"/>
  <c r="G57" i="5" s="1"/>
  <c r="G58" i="5" s="1"/>
  <c r="G59" i="5" s="1"/>
  <c r="G60" i="5" s="1"/>
  <c r="G61" i="5" s="1"/>
  <c r="H55" i="5"/>
  <c r="H56" i="5" s="1"/>
  <c r="H57" i="5" s="1"/>
  <c r="H58" i="5" s="1"/>
  <c r="H59" i="5" s="1"/>
  <c r="H60" i="5" s="1"/>
  <c r="H61" i="5" s="1"/>
  <c r="H54" i="5"/>
  <c r="G54" i="5"/>
  <c r="G43" i="5"/>
  <c r="G42" i="5" s="1"/>
  <c r="G41" i="5" s="1"/>
  <c r="G40" i="5" s="1"/>
  <c r="G39" i="5" s="1"/>
  <c r="G38" i="5" s="1"/>
  <c r="G37" i="5" s="1"/>
  <c r="G36" i="5" s="1"/>
  <c r="G35" i="5" s="1"/>
  <c r="H43" i="5"/>
  <c r="H42" i="5" s="1"/>
  <c r="H41" i="5" s="1"/>
  <c r="H40" i="5" s="1"/>
  <c r="H39" i="5" s="1"/>
  <c r="H38" i="5" s="1"/>
  <c r="H37" i="5" s="1"/>
  <c r="H36" i="5" s="1"/>
  <c r="H35" i="5" s="1"/>
  <c r="H45" i="5"/>
  <c r="H46" i="5" s="1"/>
  <c r="H47" i="5" s="1"/>
  <c r="H48" i="5" s="1"/>
  <c r="H49" i="5" s="1"/>
  <c r="H50" i="5" s="1"/>
  <c r="H51" i="5" s="1"/>
  <c r="H52" i="5" s="1"/>
  <c r="G45" i="5"/>
  <c r="G46" i="5" s="1"/>
  <c r="G47" i="5" s="1"/>
  <c r="G48" i="5" s="1"/>
  <c r="G49" i="5" s="1"/>
  <c r="G50" i="5" s="1"/>
  <c r="G51" i="5" s="1"/>
  <c r="G52" i="5" s="1"/>
  <c r="G24" i="5"/>
  <c r="G23" i="5" s="1"/>
  <c r="G22" i="5" s="1"/>
  <c r="G21" i="5" s="1"/>
  <c r="G20" i="5" s="1"/>
  <c r="G19" i="5" s="1"/>
  <c r="G18" i="5" s="1"/>
  <c r="H25" i="5"/>
  <c r="H24" i="5" s="1"/>
  <c r="H23" i="5" s="1"/>
  <c r="H22" i="5" s="1"/>
  <c r="H21" i="5" s="1"/>
  <c r="H20" i="5" s="1"/>
  <c r="H19" i="5" s="1"/>
  <c r="H18" i="5" s="1"/>
  <c r="G25" i="5"/>
  <c r="H27" i="5"/>
  <c r="H28" i="5" s="1"/>
  <c r="H29" i="5" s="1"/>
  <c r="H30" i="5" s="1"/>
  <c r="H31" i="5" s="1"/>
  <c r="H32" i="5" s="1"/>
  <c r="H33" i="5" s="1"/>
  <c r="H34" i="5" s="1"/>
  <c r="G27" i="5"/>
  <c r="G28" i="5" s="1"/>
  <c r="G29" i="5" s="1"/>
  <c r="G30" i="5" s="1"/>
  <c r="G31" i="5" s="1"/>
  <c r="G32" i="5" s="1"/>
  <c r="G33" i="5" s="1"/>
  <c r="G34" i="5" s="1"/>
  <c r="H10" i="5"/>
  <c r="H11" i="5"/>
  <c r="H12" i="5" s="1"/>
  <c r="H13" i="5" s="1"/>
  <c r="H14" i="5" s="1"/>
  <c r="H15" i="5" s="1"/>
  <c r="H16" i="5" s="1"/>
  <c r="H17" i="5" s="1"/>
  <c r="G10" i="5"/>
  <c r="G11" i="5" s="1"/>
  <c r="G12" i="5" s="1"/>
  <c r="G13" i="5" s="1"/>
  <c r="G14" i="5" s="1"/>
  <c r="G15" i="5" s="1"/>
  <c r="G16" i="5" s="1"/>
  <c r="G17" i="5" s="1"/>
  <c r="H8" i="5"/>
  <c r="H7" i="5" s="1"/>
  <c r="H6" i="5" s="1"/>
  <c r="H5" i="5" s="1"/>
  <c r="H4" i="5" s="1"/>
  <c r="H3" i="5" s="1"/>
  <c r="H2" i="5" s="1"/>
  <c r="G8" i="5"/>
  <c r="G7" i="5" s="1"/>
  <c r="G6" i="5" s="1"/>
  <c r="G5" i="5" s="1"/>
  <c r="G4" i="5" s="1"/>
  <c r="G3" i="5" s="1"/>
  <c r="G2" i="5" s="1"/>
  <c r="O115" i="2" l="1"/>
  <c r="N115" i="2"/>
  <c r="M115" i="2"/>
  <c r="O114" i="2"/>
  <c r="N114" i="2"/>
  <c r="M114" i="2"/>
  <c r="O113" i="2"/>
  <c r="N113" i="2"/>
  <c r="M113" i="2"/>
  <c r="O112" i="2"/>
  <c r="N112" i="2"/>
  <c r="M112" i="2"/>
  <c r="O111" i="2"/>
  <c r="N111" i="2"/>
  <c r="M111" i="2"/>
  <c r="O110" i="2"/>
  <c r="N110" i="2"/>
  <c r="M110" i="2"/>
  <c r="O180" i="2"/>
  <c r="N180" i="2"/>
  <c r="M180" i="2"/>
  <c r="O179" i="2"/>
  <c r="N179" i="2"/>
  <c r="M179" i="2"/>
  <c r="O178" i="2"/>
  <c r="N178" i="2"/>
  <c r="M178" i="2"/>
  <c r="O177" i="2"/>
  <c r="N177" i="2"/>
  <c r="M177" i="2"/>
  <c r="O176" i="2"/>
  <c r="N176" i="2"/>
  <c r="M176" i="2"/>
  <c r="O175" i="2"/>
  <c r="N175" i="2"/>
  <c r="M175" i="2"/>
  <c r="O185" i="2"/>
  <c r="N185" i="2"/>
  <c r="M185" i="2"/>
  <c r="O184" i="2"/>
  <c r="N184" i="2"/>
  <c r="M184" i="2"/>
  <c r="O183" i="2"/>
  <c r="N183" i="2"/>
  <c r="M183" i="2"/>
  <c r="O182" i="2"/>
  <c r="N182" i="2"/>
  <c r="M182" i="2"/>
  <c r="O181" i="2"/>
  <c r="N181" i="2"/>
  <c r="M181" i="2"/>
  <c r="M4" i="2" l="1"/>
  <c r="N4" i="2"/>
  <c r="O4" i="2"/>
  <c r="M5" i="2"/>
  <c r="N5" i="2"/>
  <c r="O5" i="2"/>
  <c r="M6" i="2"/>
  <c r="N6" i="2"/>
  <c r="O6" i="2"/>
  <c r="M7" i="2"/>
  <c r="N7" i="2"/>
  <c r="O7" i="2"/>
  <c r="M8" i="2"/>
  <c r="N8" i="2"/>
  <c r="O8" i="2"/>
  <c r="M218" i="2"/>
  <c r="N218" i="2"/>
  <c r="O218" i="2"/>
  <c r="M219" i="2"/>
  <c r="N219" i="2"/>
  <c r="O219" i="2"/>
  <c r="M220" i="2"/>
  <c r="N220" i="2"/>
  <c r="O220" i="2"/>
  <c r="M221" i="2"/>
  <c r="N221" i="2"/>
  <c r="O221" i="2"/>
  <c r="M222" i="2"/>
  <c r="N222" i="2"/>
  <c r="O222" i="2"/>
  <c r="M160" i="2"/>
  <c r="N160" i="2"/>
  <c r="O160" i="2"/>
  <c r="M161" i="2"/>
  <c r="N161" i="2"/>
  <c r="O161" i="2"/>
  <c r="M162" i="2"/>
  <c r="N162" i="2"/>
  <c r="O162" i="2"/>
  <c r="M163" i="2"/>
  <c r="N163" i="2"/>
  <c r="O163" i="2"/>
  <c r="M30" i="2"/>
  <c r="N30" i="2"/>
  <c r="O30" i="2"/>
  <c r="M31" i="2"/>
  <c r="N31" i="2"/>
  <c r="O31" i="2"/>
  <c r="M32" i="2"/>
  <c r="N32" i="2"/>
  <c r="O32" i="2"/>
  <c r="M33" i="2"/>
  <c r="N33" i="2"/>
  <c r="O33" i="2"/>
  <c r="M34" i="2"/>
  <c r="N34" i="2"/>
  <c r="O34" i="2"/>
  <c r="M35" i="2"/>
  <c r="N35" i="2"/>
  <c r="O35" i="2"/>
  <c r="M9" i="2"/>
  <c r="N9" i="2"/>
  <c r="O9" i="2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15" i="2"/>
  <c r="N15" i="2"/>
  <c r="O15" i="2"/>
  <c r="M16" i="2"/>
  <c r="N16" i="2"/>
  <c r="O16" i="2"/>
  <c r="M17" i="2"/>
  <c r="N17" i="2"/>
  <c r="O17" i="2"/>
  <c r="M18" i="2"/>
  <c r="N18" i="2"/>
  <c r="O18" i="2"/>
  <c r="M19" i="2"/>
  <c r="N19" i="2"/>
  <c r="O19" i="2"/>
  <c r="M20" i="2"/>
  <c r="N20" i="2"/>
  <c r="O20" i="2"/>
  <c r="M21" i="2"/>
  <c r="N21" i="2"/>
  <c r="O21" i="2"/>
  <c r="M22" i="2"/>
  <c r="N22" i="2"/>
  <c r="O22" i="2"/>
  <c r="M23" i="2"/>
  <c r="N23" i="2"/>
  <c r="O23" i="2"/>
  <c r="M24" i="2"/>
  <c r="N24" i="2"/>
  <c r="O24" i="2"/>
  <c r="M25" i="2"/>
  <c r="N25" i="2"/>
  <c r="O25" i="2"/>
  <c r="M26" i="2"/>
  <c r="N26" i="2"/>
  <c r="O26" i="2"/>
  <c r="M27" i="2"/>
  <c r="N27" i="2"/>
  <c r="O27" i="2"/>
  <c r="M28" i="2"/>
  <c r="N28" i="2"/>
  <c r="O28" i="2"/>
  <c r="M29" i="2"/>
  <c r="N29" i="2"/>
  <c r="O29" i="2"/>
  <c r="M36" i="2"/>
  <c r="N36" i="2"/>
  <c r="O36" i="2"/>
  <c r="M37" i="2"/>
  <c r="N37" i="2"/>
  <c r="O37" i="2"/>
  <c r="M38" i="2"/>
  <c r="N38" i="2"/>
  <c r="O38" i="2"/>
  <c r="M39" i="2"/>
  <c r="N39" i="2"/>
  <c r="O39" i="2"/>
  <c r="M40" i="2"/>
  <c r="N40" i="2"/>
  <c r="O40" i="2"/>
  <c r="M41" i="2"/>
  <c r="N41" i="2"/>
  <c r="O41" i="2"/>
  <c r="M42" i="2"/>
  <c r="N42" i="2"/>
  <c r="O42" i="2"/>
  <c r="M43" i="2"/>
  <c r="N43" i="2"/>
  <c r="O43" i="2"/>
  <c r="M44" i="2"/>
  <c r="N44" i="2"/>
  <c r="O44" i="2"/>
  <c r="M45" i="2"/>
  <c r="N45" i="2"/>
  <c r="O45" i="2"/>
  <c r="M46" i="2"/>
  <c r="N46" i="2"/>
  <c r="O46" i="2"/>
  <c r="M47" i="2"/>
  <c r="N47" i="2"/>
  <c r="O47" i="2"/>
  <c r="M48" i="2"/>
  <c r="N48" i="2"/>
  <c r="O48" i="2"/>
  <c r="M49" i="2"/>
  <c r="N49" i="2"/>
  <c r="O49" i="2"/>
  <c r="M50" i="2"/>
  <c r="N50" i="2"/>
  <c r="O50" i="2"/>
  <c r="M51" i="2"/>
  <c r="N51" i="2"/>
  <c r="O51" i="2"/>
  <c r="M52" i="2"/>
  <c r="N52" i="2"/>
  <c r="O52" i="2"/>
  <c r="M53" i="2"/>
  <c r="N53" i="2"/>
  <c r="O53" i="2"/>
  <c r="M54" i="2"/>
  <c r="N54" i="2"/>
  <c r="O54" i="2"/>
  <c r="M55" i="2"/>
  <c r="N55" i="2"/>
  <c r="O55" i="2"/>
  <c r="M56" i="2"/>
  <c r="N56" i="2"/>
  <c r="O56" i="2"/>
  <c r="M57" i="2"/>
  <c r="N57" i="2"/>
  <c r="O57" i="2"/>
  <c r="M58" i="2"/>
  <c r="N58" i="2"/>
  <c r="O58" i="2"/>
  <c r="M59" i="2"/>
  <c r="N59" i="2"/>
  <c r="O59" i="2"/>
  <c r="M60" i="2"/>
  <c r="N60" i="2"/>
  <c r="O60" i="2"/>
  <c r="M61" i="2"/>
  <c r="N61" i="2"/>
  <c r="O61" i="2"/>
  <c r="M62" i="2"/>
  <c r="N62" i="2"/>
  <c r="O62" i="2"/>
  <c r="M63" i="2"/>
  <c r="N63" i="2"/>
  <c r="O63" i="2"/>
  <c r="M64" i="2"/>
  <c r="N64" i="2"/>
  <c r="O64" i="2"/>
  <c r="M65" i="2"/>
  <c r="N65" i="2"/>
  <c r="O65" i="2"/>
  <c r="M66" i="2"/>
  <c r="N66" i="2"/>
  <c r="O66" i="2"/>
  <c r="M67" i="2"/>
  <c r="N67" i="2"/>
  <c r="O67" i="2"/>
  <c r="M68" i="2"/>
  <c r="N68" i="2"/>
  <c r="O68" i="2"/>
  <c r="M69" i="2"/>
  <c r="N69" i="2"/>
  <c r="O69" i="2"/>
  <c r="M70" i="2"/>
  <c r="N70" i="2"/>
  <c r="O70" i="2"/>
  <c r="M71" i="2"/>
  <c r="N71" i="2"/>
  <c r="O71" i="2"/>
  <c r="M72" i="2"/>
  <c r="N72" i="2"/>
  <c r="O72" i="2"/>
  <c r="M73" i="2"/>
  <c r="N73" i="2"/>
  <c r="O73" i="2"/>
  <c r="M74" i="2"/>
  <c r="N74" i="2"/>
  <c r="O74" i="2"/>
  <c r="M75" i="2"/>
  <c r="N75" i="2"/>
  <c r="O75" i="2"/>
  <c r="M76" i="2"/>
  <c r="N76" i="2"/>
  <c r="O76" i="2"/>
  <c r="M77" i="2"/>
  <c r="N77" i="2"/>
  <c r="O77" i="2"/>
  <c r="M78" i="2"/>
  <c r="N78" i="2"/>
  <c r="O78" i="2"/>
  <c r="M79" i="2"/>
  <c r="N79" i="2"/>
  <c r="O79" i="2"/>
  <c r="M80" i="2"/>
  <c r="N80" i="2"/>
  <c r="O80" i="2"/>
  <c r="M81" i="2"/>
  <c r="N81" i="2"/>
  <c r="O81" i="2"/>
  <c r="M82" i="2"/>
  <c r="N82" i="2"/>
  <c r="O82" i="2"/>
  <c r="M83" i="2"/>
  <c r="N83" i="2"/>
  <c r="O83" i="2"/>
  <c r="M84" i="2"/>
  <c r="N84" i="2"/>
  <c r="O84" i="2"/>
  <c r="M85" i="2"/>
  <c r="N85" i="2"/>
  <c r="O85" i="2"/>
  <c r="M86" i="2"/>
  <c r="N86" i="2"/>
  <c r="O86" i="2"/>
  <c r="M87" i="2"/>
  <c r="N87" i="2"/>
  <c r="O87" i="2"/>
  <c r="M88" i="2"/>
  <c r="N88" i="2"/>
  <c r="O88" i="2"/>
  <c r="M89" i="2"/>
  <c r="N89" i="2"/>
  <c r="O89" i="2"/>
  <c r="M90" i="2"/>
  <c r="N90" i="2"/>
  <c r="O90" i="2"/>
  <c r="M91" i="2"/>
  <c r="N91" i="2"/>
  <c r="O91" i="2"/>
  <c r="M92" i="2"/>
  <c r="N92" i="2"/>
  <c r="O92" i="2"/>
  <c r="M93" i="2"/>
  <c r="N93" i="2"/>
  <c r="O93" i="2"/>
  <c r="M94" i="2"/>
  <c r="N94" i="2"/>
  <c r="O94" i="2"/>
  <c r="M95" i="2"/>
  <c r="N95" i="2"/>
  <c r="O95" i="2"/>
  <c r="M96" i="2"/>
  <c r="N96" i="2"/>
  <c r="O96" i="2"/>
  <c r="M97" i="2"/>
  <c r="N97" i="2"/>
  <c r="O97" i="2"/>
  <c r="M98" i="2"/>
  <c r="N98" i="2"/>
  <c r="O98" i="2"/>
  <c r="M99" i="2"/>
  <c r="N99" i="2"/>
  <c r="O99" i="2"/>
  <c r="M100" i="2"/>
  <c r="N100" i="2"/>
  <c r="O100" i="2"/>
  <c r="M101" i="2"/>
  <c r="N101" i="2"/>
  <c r="O101" i="2"/>
  <c r="M102" i="2"/>
  <c r="N102" i="2"/>
  <c r="O102" i="2"/>
  <c r="M103" i="2"/>
  <c r="N103" i="2"/>
  <c r="O103" i="2"/>
  <c r="M104" i="2"/>
  <c r="N104" i="2"/>
  <c r="O104" i="2"/>
  <c r="M105" i="2"/>
  <c r="N105" i="2"/>
  <c r="O105" i="2"/>
  <c r="M106" i="2"/>
  <c r="N106" i="2"/>
  <c r="O106" i="2"/>
  <c r="M107" i="2"/>
  <c r="N107" i="2"/>
  <c r="O107" i="2"/>
  <c r="M108" i="2"/>
  <c r="N108" i="2"/>
  <c r="O108" i="2"/>
  <c r="M109" i="2"/>
  <c r="N109" i="2"/>
  <c r="O109" i="2"/>
  <c r="M116" i="2"/>
  <c r="N116" i="2"/>
  <c r="O116" i="2"/>
  <c r="M117" i="2"/>
  <c r="N117" i="2"/>
  <c r="O117" i="2"/>
  <c r="M118" i="2"/>
  <c r="N118" i="2"/>
  <c r="O118" i="2"/>
  <c r="M119" i="2"/>
  <c r="N119" i="2"/>
  <c r="O119" i="2"/>
  <c r="M120" i="2"/>
  <c r="N120" i="2"/>
  <c r="O120" i="2"/>
  <c r="M121" i="2"/>
  <c r="N121" i="2"/>
  <c r="O121" i="2"/>
  <c r="M122" i="2"/>
  <c r="N122" i="2"/>
  <c r="O122" i="2"/>
  <c r="M123" i="2"/>
  <c r="N123" i="2"/>
  <c r="O123" i="2"/>
  <c r="M124" i="2"/>
  <c r="N124" i="2"/>
  <c r="O124" i="2"/>
  <c r="M125" i="2"/>
  <c r="N125" i="2"/>
  <c r="O125" i="2"/>
  <c r="M126" i="2"/>
  <c r="N126" i="2"/>
  <c r="O126" i="2"/>
  <c r="M127" i="2"/>
  <c r="N127" i="2"/>
  <c r="O127" i="2"/>
  <c r="M128" i="2"/>
  <c r="N128" i="2"/>
  <c r="O128" i="2"/>
  <c r="M129" i="2"/>
  <c r="N129" i="2"/>
  <c r="O129" i="2"/>
  <c r="M130" i="2"/>
  <c r="N130" i="2"/>
  <c r="O130" i="2"/>
  <c r="M131" i="2"/>
  <c r="N131" i="2"/>
  <c r="O131" i="2"/>
  <c r="M132" i="2"/>
  <c r="N132" i="2"/>
  <c r="O132" i="2"/>
  <c r="M133" i="2"/>
  <c r="N133" i="2"/>
  <c r="O133" i="2"/>
  <c r="M134" i="2"/>
  <c r="N134" i="2"/>
  <c r="O134" i="2"/>
  <c r="M135" i="2"/>
  <c r="N135" i="2"/>
  <c r="O135" i="2"/>
  <c r="M136" i="2"/>
  <c r="N136" i="2"/>
  <c r="O136" i="2"/>
  <c r="M137" i="2"/>
  <c r="N137" i="2"/>
  <c r="O137" i="2"/>
  <c r="M138" i="2"/>
  <c r="N138" i="2"/>
  <c r="O138" i="2"/>
  <c r="M139" i="2"/>
  <c r="N139" i="2"/>
  <c r="O139" i="2"/>
  <c r="M140" i="2"/>
  <c r="N140" i="2"/>
  <c r="O140" i="2"/>
  <c r="M141" i="2"/>
  <c r="N141" i="2"/>
  <c r="O141" i="2"/>
  <c r="M142" i="2"/>
  <c r="N142" i="2"/>
  <c r="O142" i="2"/>
  <c r="M143" i="2"/>
  <c r="N143" i="2"/>
  <c r="O143" i="2"/>
  <c r="M144" i="2"/>
  <c r="N144" i="2"/>
  <c r="O144" i="2"/>
  <c r="M145" i="2"/>
  <c r="N145" i="2"/>
  <c r="O145" i="2"/>
  <c r="M146" i="2"/>
  <c r="N146" i="2"/>
  <c r="O146" i="2"/>
  <c r="M147" i="2"/>
  <c r="N147" i="2"/>
  <c r="O147" i="2"/>
  <c r="M148" i="2"/>
  <c r="N148" i="2"/>
  <c r="O148" i="2"/>
  <c r="M149" i="2"/>
  <c r="N149" i="2"/>
  <c r="O149" i="2"/>
  <c r="M150" i="2"/>
  <c r="N150" i="2"/>
  <c r="O150" i="2"/>
  <c r="M151" i="2"/>
  <c r="N151" i="2"/>
  <c r="O151" i="2"/>
  <c r="M152" i="2"/>
  <c r="N152" i="2"/>
  <c r="O152" i="2"/>
  <c r="M153" i="2"/>
  <c r="N153" i="2"/>
  <c r="O153" i="2"/>
  <c r="M154" i="2"/>
  <c r="N154" i="2"/>
  <c r="O154" i="2"/>
  <c r="M155" i="2"/>
  <c r="N155" i="2"/>
  <c r="O155" i="2"/>
  <c r="M156" i="2"/>
  <c r="N156" i="2"/>
  <c r="O156" i="2"/>
  <c r="M157" i="2"/>
  <c r="N157" i="2"/>
  <c r="O157" i="2"/>
  <c r="M158" i="2"/>
  <c r="N158" i="2"/>
  <c r="O158" i="2"/>
  <c r="M159" i="2"/>
  <c r="N159" i="2"/>
  <c r="O159" i="2"/>
  <c r="M164" i="2"/>
  <c r="N164" i="2"/>
  <c r="O164" i="2"/>
  <c r="M165" i="2"/>
  <c r="N165" i="2"/>
  <c r="O165" i="2"/>
  <c r="M166" i="2"/>
  <c r="N166" i="2"/>
  <c r="O166" i="2"/>
  <c r="M167" i="2"/>
  <c r="N167" i="2"/>
  <c r="O167" i="2"/>
  <c r="M168" i="2"/>
  <c r="N168" i="2"/>
  <c r="O168" i="2"/>
  <c r="M169" i="2"/>
  <c r="N169" i="2"/>
  <c r="O169" i="2"/>
  <c r="M170" i="2"/>
  <c r="N170" i="2"/>
  <c r="O170" i="2"/>
  <c r="M171" i="2"/>
  <c r="N171" i="2"/>
  <c r="O171" i="2"/>
  <c r="M172" i="2"/>
  <c r="N172" i="2"/>
  <c r="O172" i="2"/>
  <c r="M173" i="2"/>
  <c r="N173" i="2"/>
  <c r="O173" i="2"/>
  <c r="M174" i="2"/>
  <c r="N174" i="2"/>
  <c r="O174" i="2"/>
  <c r="M186" i="2"/>
  <c r="N186" i="2"/>
  <c r="O186" i="2"/>
  <c r="M187" i="2"/>
  <c r="N187" i="2"/>
  <c r="O187" i="2"/>
  <c r="M188" i="2"/>
  <c r="N188" i="2"/>
  <c r="O188" i="2"/>
  <c r="M189" i="2"/>
  <c r="N189" i="2"/>
  <c r="O189" i="2"/>
  <c r="M190" i="2"/>
  <c r="N190" i="2"/>
  <c r="O190" i="2"/>
  <c r="M191" i="2"/>
  <c r="N191" i="2"/>
  <c r="O191" i="2"/>
  <c r="M192" i="2"/>
  <c r="N192" i="2"/>
  <c r="O192" i="2"/>
  <c r="M193" i="2"/>
  <c r="N193" i="2"/>
  <c r="O193" i="2"/>
  <c r="M194" i="2"/>
  <c r="N194" i="2"/>
  <c r="O194" i="2"/>
  <c r="M195" i="2"/>
  <c r="N195" i="2"/>
  <c r="O195" i="2"/>
  <c r="M196" i="2"/>
  <c r="N196" i="2"/>
  <c r="O196" i="2"/>
  <c r="M198" i="2"/>
  <c r="N198" i="2"/>
  <c r="O198" i="2"/>
  <c r="M199" i="2"/>
  <c r="N199" i="2"/>
  <c r="O199" i="2"/>
  <c r="M200" i="2"/>
  <c r="N200" i="2"/>
  <c r="O200" i="2"/>
  <c r="M201" i="2"/>
  <c r="N201" i="2"/>
  <c r="O201" i="2"/>
  <c r="M202" i="2"/>
  <c r="N202" i="2"/>
  <c r="O202" i="2"/>
  <c r="M203" i="2"/>
  <c r="N203" i="2"/>
  <c r="O203" i="2"/>
  <c r="M204" i="2"/>
  <c r="N204" i="2"/>
  <c r="O204" i="2"/>
  <c r="M205" i="2"/>
  <c r="N205" i="2"/>
  <c r="O205" i="2"/>
  <c r="M206" i="2"/>
  <c r="N206" i="2"/>
  <c r="O206" i="2"/>
  <c r="M207" i="2"/>
  <c r="N207" i="2"/>
  <c r="O207" i="2"/>
  <c r="M208" i="2"/>
  <c r="N208" i="2"/>
  <c r="O208" i="2"/>
  <c r="M209" i="2"/>
  <c r="N209" i="2"/>
  <c r="O209" i="2"/>
  <c r="M210" i="2"/>
  <c r="N210" i="2"/>
  <c r="O210" i="2"/>
  <c r="M211" i="2"/>
  <c r="N211" i="2"/>
  <c r="O211" i="2"/>
  <c r="M212" i="2"/>
  <c r="N212" i="2"/>
  <c r="O212" i="2"/>
  <c r="M213" i="2"/>
  <c r="N213" i="2"/>
  <c r="O213" i="2"/>
  <c r="M214" i="2"/>
  <c r="N214" i="2"/>
  <c r="O214" i="2"/>
  <c r="M215" i="2"/>
  <c r="N215" i="2"/>
  <c r="O215" i="2"/>
  <c r="M216" i="2"/>
  <c r="N216" i="2"/>
  <c r="O216" i="2"/>
  <c r="M217" i="2"/>
  <c r="N217" i="2"/>
  <c r="O217" i="2"/>
  <c r="M223" i="2"/>
  <c r="N223" i="2"/>
  <c r="O223" i="2"/>
  <c r="M224" i="2"/>
  <c r="N224" i="2"/>
  <c r="O224" i="2"/>
  <c r="M225" i="2"/>
  <c r="N225" i="2"/>
  <c r="O225" i="2"/>
  <c r="M226" i="2"/>
  <c r="N226" i="2"/>
  <c r="O226" i="2"/>
  <c r="M227" i="2"/>
  <c r="N227" i="2"/>
  <c r="O227" i="2"/>
  <c r="M228" i="2"/>
  <c r="N228" i="2"/>
  <c r="O228" i="2"/>
  <c r="M229" i="2"/>
  <c r="N229" i="2"/>
  <c r="O229" i="2"/>
  <c r="M230" i="2"/>
  <c r="N230" i="2"/>
  <c r="O230" i="2"/>
  <c r="M231" i="2"/>
  <c r="N231" i="2"/>
  <c r="O231" i="2"/>
  <c r="M232" i="2"/>
  <c r="N232" i="2"/>
  <c r="O232" i="2"/>
  <c r="M233" i="2"/>
  <c r="N233" i="2"/>
  <c r="O233" i="2"/>
  <c r="M234" i="2"/>
  <c r="N234" i="2"/>
  <c r="O234" i="2"/>
  <c r="M235" i="2"/>
  <c r="N235" i="2"/>
  <c r="O235" i="2"/>
  <c r="M236" i="2"/>
  <c r="N236" i="2"/>
  <c r="O236" i="2"/>
  <c r="M237" i="2"/>
  <c r="N237" i="2"/>
  <c r="O237" i="2"/>
  <c r="M238" i="2"/>
  <c r="N238" i="2"/>
  <c r="O238" i="2"/>
  <c r="M239" i="2"/>
  <c r="N239" i="2"/>
  <c r="O239" i="2"/>
  <c r="M240" i="2"/>
  <c r="N240" i="2"/>
  <c r="O240" i="2"/>
  <c r="M241" i="2"/>
  <c r="N241" i="2"/>
  <c r="O241" i="2"/>
  <c r="M242" i="2"/>
  <c r="N242" i="2"/>
  <c r="O242" i="2"/>
  <c r="M243" i="2"/>
  <c r="N243" i="2"/>
  <c r="O243" i="2"/>
  <c r="M244" i="2"/>
  <c r="N244" i="2"/>
  <c r="O244" i="2"/>
  <c r="M245" i="2"/>
  <c r="N245" i="2"/>
  <c r="O245" i="2"/>
  <c r="M246" i="2"/>
  <c r="N246" i="2"/>
  <c r="O246" i="2"/>
  <c r="M247" i="2"/>
  <c r="N247" i="2"/>
  <c r="O247" i="2"/>
  <c r="M248" i="2"/>
  <c r="N248" i="2"/>
  <c r="O248" i="2"/>
  <c r="M249" i="2"/>
  <c r="N249" i="2"/>
  <c r="O249" i="2"/>
  <c r="M250" i="2"/>
  <c r="N250" i="2"/>
  <c r="O250" i="2"/>
  <c r="M251" i="2"/>
  <c r="N251" i="2"/>
  <c r="O251" i="2"/>
  <c r="M252" i="2"/>
  <c r="N252" i="2"/>
  <c r="O252" i="2"/>
  <c r="M253" i="2"/>
  <c r="N253" i="2"/>
  <c r="O253" i="2"/>
  <c r="M254" i="2"/>
  <c r="N254" i="2"/>
  <c r="O254" i="2"/>
  <c r="M255" i="2"/>
  <c r="N255" i="2"/>
  <c r="O255" i="2"/>
  <c r="M256" i="2"/>
  <c r="N256" i="2"/>
  <c r="O256" i="2"/>
  <c r="M257" i="2"/>
  <c r="N257" i="2"/>
  <c r="O257" i="2"/>
  <c r="M258" i="2"/>
  <c r="N258" i="2"/>
  <c r="O258" i="2"/>
  <c r="M259" i="2"/>
  <c r="N259" i="2"/>
  <c r="O259" i="2"/>
  <c r="M260" i="2"/>
  <c r="N260" i="2"/>
  <c r="O260" i="2"/>
  <c r="M261" i="2"/>
  <c r="N261" i="2"/>
  <c r="O261" i="2"/>
  <c r="M262" i="2"/>
  <c r="N262" i="2"/>
  <c r="O262" i="2"/>
  <c r="M263" i="2"/>
  <c r="N263" i="2"/>
  <c r="O263" i="2"/>
  <c r="M264" i="2"/>
  <c r="N264" i="2"/>
  <c r="O264" i="2"/>
  <c r="M265" i="2"/>
  <c r="N265" i="2"/>
  <c r="O265" i="2"/>
  <c r="M266" i="2"/>
  <c r="N266" i="2"/>
  <c r="O266" i="2"/>
  <c r="M267" i="2"/>
  <c r="N267" i="2"/>
  <c r="O267" i="2"/>
  <c r="M268" i="2"/>
  <c r="N268" i="2"/>
  <c r="O268" i="2"/>
  <c r="M269" i="2"/>
  <c r="N269" i="2"/>
  <c r="O269" i="2"/>
  <c r="M270" i="2"/>
  <c r="N270" i="2"/>
  <c r="O270" i="2"/>
  <c r="M271" i="2"/>
  <c r="N271" i="2"/>
  <c r="O271" i="2"/>
  <c r="M272" i="2"/>
  <c r="N272" i="2"/>
  <c r="O272" i="2"/>
  <c r="M273" i="2"/>
  <c r="N273" i="2"/>
  <c r="O273" i="2"/>
  <c r="M274" i="2"/>
  <c r="N274" i="2"/>
  <c r="O274" i="2"/>
  <c r="M275" i="2"/>
  <c r="N275" i="2"/>
  <c r="O275" i="2"/>
  <c r="M276" i="2"/>
  <c r="N276" i="2"/>
  <c r="O276" i="2"/>
  <c r="M277" i="2"/>
  <c r="N277" i="2"/>
  <c r="O277" i="2"/>
  <c r="M278" i="2"/>
  <c r="N278" i="2"/>
  <c r="O278" i="2"/>
  <c r="M279" i="2"/>
  <c r="N279" i="2"/>
  <c r="O279" i="2"/>
  <c r="M280" i="2"/>
  <c r="N280" i="2"/>
  <c r="O280" i="2"/>
  <c r="M281" i="2"/>
  <c r="N281" i="2"/>
  <c r="O281" i="2"/>
  <c r="M282" i="2"/>
  <c r="N282" i="2"/>
  <c r="O282" i="2"/>
  <c r="M283" i="2"/>
  <c r="N283" i="2"/>
  <c r="O283" i="2"/>
  <c r="M284" i="2"/>
  <c r="N284" i="2"/>
  <c r="O284" i="2"/>
  <c r="M285" i="2"/>
  <c r="N285" i="2"/>
  <c r="O285" i="2"/>
  <c r="M286" i="2"/>
  <c r="N286" i="2"/>
  <c r="O286" i="2"/>
  <c r="M287" i="2"/>
  <c r="N287" i="2"/>
  <c r="O287" i="2"/>
  <c r="M288" i="2"/>
  <c r="N288" i="2"/>
  <c r="O288" i="2"/>
  <c r="M289" i="2"/>
  <c r="N289" i="2"/>
  <c r="O289" i="2"/>
  <c r="M290" i="2"/>
  <c r="N290" i="2"/>
  <c r="O290" i="2"/>
  <c r="M291" i="2"/>
  <c r="N291" i="2"/>
  <c r="O291" i="2"/>
  <c r="M292" i="2"/>
  <c r="N292" i="2"/>
  <c r="O292" i="2"/>
  <c r="M293" i="2"/>
  <c r="N293" i="2"/>
  <c r="O293" i="2"/>
  <c r="M294" i="2"/>
  <c r="N294" i="2"/>
  <c r="O294" i="2"/>
  <c r="M295" i="2"/>
  <c r="N295" i="2"/>
  <c r="O295" i="2"/>
  <c r="M296" i="2"/>
  <c r="N296" i="2"/>
  <c r="O296" i="2"/>
  <c r="M297" i="2"/>
  <c r="N297" i="2"/>
  <c r="O297" i="2"/>
  <c r="M298" i="2"/>
  <c r="N298" i="2"/>
  <c r="O298" i="2"/>
  <c r="M299" i="2"/>
  <c r="N299" i="2"/>
  <c r="O299" i="2"/>
  <c r="M300" i="2"/>
  <c r="N300" i="2"/>
  <c r="O300" i="2"/>
  <c r="M301" i="2"/>
  <c r="N301" i="2"/>
  <c r="O301" i="2"/>
  <c r="M302" i="2"/>
  <c r="N302" i="2"/>
  <c r="O302" i="2"/>
  <c r="M303" i="2"/>
  <c r="N303" i="2"/>
  <c r="O303" i="2"/>
  <c r="M304" i="2"/>
  <c r="N304" i="2"/>
  <c r="O304" i="2"/>
  <c r="M305" i="2"/>
  <c r="N305" i="2"/>
  <c r="O305" i="2"/>
  <c r="M306" i="2"/>
  <c r="N306" i="2"/>
  <c r="O306" i="2"/>
  <c r="M307" i="2"/>
  <c r="N307" i="2"/>
  <c r="O307" i="2"/>
  <c r="M308" i="2"/>
  <c r="N308" i="2"/>
  <c r="O308" i="2"/>
  <c r="M309" i="2"/>
  <c r="N309" i="2"/>
  <c r="O309" i="2"/>
  <c r="M310" i="2"/>
  <c r="N310" i="2"/>
  <c r="O310" i="2"/>
  <c r="M311" i="2"/>
  <c r="N311" i="2"/>
  <c r="O311" i="2"/>
  <c r="M312" i="2"/>
  <c r="N312" i="2"/>
  <c r="O312" i="2"/>
  <c r="M313" i="2"/>
  <c r="N313" i="2"/>
  <c r="O313" i="2"/>
  <c r="M314" i="2"/>
  <c r="N314" i="2"/>
  <c r="O314" i="2"/>
  <c r="M315" i="2"/>
  <c r="N315" i="2"/>
  <c r="O315" i="2"/>
  <c r="M316" i="2"/>
  <c r="N316" i="2"/>
  <c r="O316" i="2"/>
  <c r="M317" i="2"/>
  <c r="N317" i="2"/>
  <c r="O317" i="2"/>
  <c r="M318" i="2"/>
  <c r="N318" i="2"/>
  <c r="O318" i="2"/>
  <c r="M319" i="2"/>
  <c r="N319" i="2"/>
  <c r="O319" i="2"/>
  <c r="M320" i="2"/>
  <c r="N320" i="2"/>
  <c r="O320" i="2"/>
  <c r="M321" i="2"/>
  <c r="N321" i="2"/>
  <c r="O321" i="2"/>
  <c r="M322" i="2"/>
  <c r="N322" i="2"/>
  <c r="O322" i="2"/>
  <c r="M323" i="2"/>
  <c r="N323" i="2"/>
  <c r="O323" i="2"/>
  <c r="M324" i="2"/>
  <c r="N324" i="2"/>
  <c r="O324" i="2"/>
  <c r="M325" i="2"/>
  <c r="N325" i="2"/>
  <c r="O325" i="2"/>
  <c r="M326" i="2"/>
  <c r="N326" i="2"/>
  <c r="O326" i="2"/>
  <c r="M327" i="2"/>
  <c r="N327" i="2"/>
  <c r="O327" i="2"/>
  <c r="M328" i="2"/>
  <c r="N328" i="2"/>
  <c r="O328" i="2"/>
  <c r="M329" i="2"/>
  <c r="N329" i="2"/>
  <c r="O329" i="2"/>
  <c r="M330" i="2"/>
  <c r="N330" i="2"/>
  <c r="O330" i="2"/>
  <c r="M331" i="2"/>
  <c r="N331" i="2"/>
  <c r="O331" i="2"/>
  <c r="M332" i="2"/>
  <c r="N332" i="2"/>
  <c r="O332" i="2"/>
  <c r="M333" i="2"/>
  <c r="N333" i="2"/>
  <c r="O333" i="2"/>
  <c r="M334" i="2"/>
  <c r="N334" i="2"/>
  <c r="O334" i="2"/>
  <c r="M335" i="2"/>
  <c r="N335" i="2"/>
  <c r="O335" i="2"/>
  <c r="M336" i="2"/>
  <c r="N336" i="2"/>
  <c r="O336" i="2"/>
  <c r="M337" i="2"/>
  <c r="N337" i="2"/>
  <c r="O337" i="2"/>
  <c r="M338" i="2"/>
  <c r="N338" i="2"/>
  <c r="O338" i="2"/>
  <c r="M339" i="2"/>
  <c r="N339" i="2"/>
  <c r="O339" i="2"/>
  <c r="M340" i="2"/>
  <c r="N340" i="2"/>
  <c r="O340" i="2"/>
  <c r="M341" i="2"/>
  <c r="N341" i="2"/>
  <c r="O341" i="2"/>
  <c r="M342" i="2"/>
  <c r="N342" i="2"/>
  <c r="O342" i="2"/>
  <c r="M343" i="2"/>
  <c r="N343" i="2"/>
  <c r="O343" i="2"/>
  <c r="M344" i="2"/>
  <c r="N344" i="2"/>
  <c r="O344" i="2"/>
  <c r="M345" i="2"/>
  <c r="N345" i="2"/>
  <c r="O345" i="2"/>
  <c r="M346" i="2"/>
  <c r="N346" i="2"/>
  <c r="O346" i="2"/>
  <c r="M347" i="2"/>
  <c r="N347" i="2"/>
  <c r="O347" i="2"/>
  <c r="M348" i="2"/>
  <c r="N348" i="2"/>
  <c r="O348" i="2"/>
  <c r="M349" i="2"/>
  <c r="N349" i="2"/>
  <c r="O349" i="2"/>
  <c r="M350" i="2"/>
  <c r="N350" i="2"/>
  <c r="O350" i="2"/>
  <c r="M351" i="2"/>
  <c r="N351" i="2"/>
  <c r="O351" i="2"/>
  <c r="M352" i="2"/>
  <c r="N352" i="2"/>
  <c r="O352" i="2"/>
  <c r="M353" i="2"/>
  <c r="N353" i="2"/>
  <c r="O353" i="2"/>
  <c r="M354" i="2"/>
  <c r="N354" i="2"/>
  <c r="O354" i="2"/>
  <c r="M355" i="2"/>
  <c r="N355" i="2"/>
  <c r="O355" i="2"/>
  <c r="M356" i="2"/>
  <c r="N356" i="2"/>
  <c r="O356" i="2"/>
  <c r="M357" i="2"/>
  <c r="N357" i="2"/>
  <c r="O357" i="2"/>
  <c r="M358" i="2"/>
  <c r="N358" i="2"/>
  <c r="O358" i="2"/>
  <c r="M359" i="2"/>
  <c r="N359" i="2"/>
  <c r="O359" i="2"/>
  <c r="M360" i="2"/>
  <c r="N360" i="2"/>
  <c r="O360" i="2"/>
  <c r="M361" i="2"/>
  <c r="N361" i="2"/>
  <c r="O361" i="2"/>
  <c r="M362" i="2"/>
  <c r="N362" i="2"/>
  <c r="O362" i="2"/>
  <c r="M363" i="2"/>
  <c r="N363" i="2"/>
  <c r="O363" i="2"/>
  <c r="M364" i="2"/>
  <c r="N364" i="2"/>
  <c r="O364" i="2"/>
  <c r="N3" i="2"/>
  <c r="O3" i="2"/>
  <c r="M3" i="2"/>
  <c r="G150" i="1" l="1"/>
  <c r="G149" i="1"/>
  <c r="G148" i="1"/>
  <c r="G147" i="1"/>
  <c r="G146" i="1"/>
  <c r="G145" i="1" l="1"/>
  <c r="G144" i="1"/>
  <c r="G143" i="1"/>
  <c r="G142" i="1"/>
  <c r="G141" i="1"/>
  <c r="G140" i="1" l="1"/>
  <c r="G139" i="1"/>
  <c r="G138" i="1"/>
  <c r="G137" i="1"/>
  <c r="G136" i="1"/>
  <c r="G135" i="1" l="1"/>
  <c r="G134" i="1"/>
  <c r="G133" i="1"/>
  <c r="G132" i="1"/>
  <c r="G131" i="1"/>
  <c r="G110" i="1" l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121" i="1" l="1"/>
  <c r="G122" i="1"/>
  <c r="G123" i="1"/>
  <c r="G124" i="1"/>
  <c r="G125" i="1"/>
  <c r="G2" i="1"/>
  <c r="G3" i="1"/>
  <c r="G4" i="1"/>
  <c r="G5" i="1"/>
  <c r="G6" i="1"/>
  <c r="G7" i="1"/>
  <c r="G126" i="1"/>
  <c r="G127" i="1"/>
  <c r="G128" i="1"/>
  <c r="G129" i="1"/>
  <c r="G130" i="1"/>
  <c r="G111" i="1"/>
  <c r="G112" i="1"/>
  <c r="G113" i="1"/>
  <c r="G114" i="1"/>
  <c r="G29" i="1"/>
  <c r="G30" i="1"/>
  <c r="G31" i="1"/>
  <c r="G32" i="1"/>
  <c r="G33" i="1"/>
  <c r="G34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115" i="1"/>
  <c r="G116" i="1"/>
  <c r="G117" i="1"/>
  <c r="G118" i="1"/>
  <c r="G119" i="1"/>
  <c r="G120" i="1"/>
</calcChain>
</file>

<file path=xl/sharedStrings.xml><?xml version="1.0" encoding="utf-8"?>
<sst xmlns="http://schemas.openxmlformats.org/spreadsheetml/2006/main" count="5083" uniqueCount="110">
  <si>
    <t>* TOTAL NÜFUS</t>
  </si>
  <si>
    <t>İL İLÇE MERKEZ</t>
  </si>
  <si>
    <t>Adana</t>
  </si>
  <si>
    <t>kirsehir</t>
  </si>
  <si>
    <t>hakkari</t>
  </si>
  <si>
    <t>Ankara</t>
  </si>
  <si>
    <t>ankara</t>
  </si>
  <si>
    <t>adiyaman</t>
  </si>
  <si>
    <t>afyon</t>
  </si>
  <si>
    <t>agri</t>
  </si>
  <si>
    <t>aksaray</t>
  </si>
  <si>
    <t>amasya</t>
  </si>
  <si>
    <t>antalya</t>
  </si>
  <si>
    <t>ardahan</t>
  </si>
  <si>
    <t>artvin</t>
  </si>
  <si>
    <t>aydin</t>
  </si>
  <si>
    <t>(-) nüfus çıkınca kalan nüfus</t>
  </si>
  <si>
    <t>YIL</t>
  </si>
  <si>
    <t>İL</t>
  </si>
  <si>
    <t>Karşılama Oranı</t>
  </si>
  <si>
    <t>Nüfus Grubu</t>
  </si>
  <si>
    <t>istanbul</t>
  </si>
  <si>
    <t>izmir</t>
  </si>
  <si>
    <t>balikesir</t>
  </si>
  <si>
    <t>bartin</t>
  </si>
  <si>
    <t>batman</t>
  </si>
  <si>
    <t>bayburt</t>
  </si>
  <si>
    <t>bilecik</t>
  </si>
  <si>
    <t>bingol</t>
  </si>
  <si>
    <t>bitlis</t>
  </si>
  <si>
    <t>bolu</t>
  </si>
  <si>
    <t>burdur</t>
  </si>
  <si>
    <t>bursa</t>
  </si>
  <si>
    <t>canakkale</t>
  </si>
  <si>
    <t>cankiri</t>
  </si>
  <si>
    <t>corum</t>
  </si>
  <si>
    <t>denizli</t>
  </si>
  <si>
    <t>hatay</t>
  </si>
  <si>
    <t>kocaeli</t>
  </si>
  <si>
    <t>mersin</t>
  </si>
  <si>
    <t>zonguldak</t>
  </si>
  <si>
    <t>İLLER</t>
  </si>
  <si>
    <t>duzce</t>
  </si>
  <si>
    <t>edirne</t>
  </si>
  <si>
    <t>elazig</t>
  </si>
  <si>
    <t>erzincan</t>
  </si>
  <si>
    <t>erzurum</t>
  </si>
  <si>
    <t>eskişehir</t>
  </si>
  <si>
    <t>gaziantep</t>
  </si>
  <si>
    <t>giresun</t>
  </si>
  <si>
    <t>gumushane</t>
  </si>
  <si>
    <t>igdir</t>
  </si>
  <si>
    <t>isparta</t>
  </si>
  <si>
    <t>kahramanmaras</t>
  </si>
  <si>
    <t>karabuk</t>
  </si>
  <si>
    <t>karaman</t>
  </si>
  <si>
    <t>kars</t>
  </si>
  <si>
    <t>kastamonu</t>
  </si>
  <si>
    <t>kayseri</t>
  </si>
  <si>
    <t>kilis</t>
  </si>
  <si>
    <t>kirikkale</t>
  </si>
  <si>
    <t>kirklareli</t>
  </si>
  <si>
    <t>konya</t>
  </si>
  <si>
    <t>kütahya</t>
  </si>
  <si>
    <t>malatya</t>
  </si>
  <si>
    <t>manisa</t>
  </si>
  <si>
    <t>mardin</t>
  </si>
  <si>
    <t>mugla</t>
  </si>
  <si>
    <t>mus</t>
  </si>
  <si>
    <t>nevsehir</t>
  </si>
  <si>
    <t>nigde</t>
  </si>
  <si>
    <t>ordu</t>
  </si>
  <si>
    <t>osmaniye</t>
  </si>
  <si>
    <t>rize</t>
  </si>
  <si>
    <t>sakarya</t>
  </si>
  <si>
    <t>sanliurfa</t>
  </si>
  <si>
    <t>siirt</t>
  </si>
  <si>
    <t>sinop</t>
  </si>
  <si>
    <t>sirnak</t>
  </si>
  <si>
    <t>tekirdag</t>
  </si>
  <si>
    <t>tokat</t>
  </si>
  <si>
    <t>trabzon</t>
  </si>
  <si>
    <t>tunceli</t>
  </si>
  <si>
    <t>usak</t>
  </si>
  <si>
    <t>van</t>
  </si>
  <si>
    <t>yalova</t>
  </si>
  <si>
    <t>yozgat</t>
  </si>
  <si>
    <t>samsun</t>
  </si>
  <si>
    <t>sivas</t>
  </si>
  <si>
    <t>TOTAL</t>
  </si>
  <si>
    <t>MALE</t>
  </si>
  <si>
    <t>FEMALE</t>
  </si>
  <si>
    <t>Population Group (by population size)</t>
  </si>
  <si>
    <t>The remaining population after subtracting the size of population's group</t>
  </si>
  <si>
    <t>City and district center population</t>
  </si>
  <si>
    <t>Coverage Rate</t>
  </si>
  <si>
    <t>* TOTAL POPULATION</t>
  </si>
  <si>
    <t>PROVINCE</t>
  </si>
  <si>
    <t>YEAR</t>
  </si>
  <si>
    <t>0 AGE POPULATION ESTIMATE FOR City and district centers</t>
  </si>
  <si>
    <t>diyarbakir</t>
  </si>
  <si>
    <t>eskisehir</t>
  </si>
  <si>
    <t>kutahya</t>
  </si>
  <si>
    <t>Year</t>
  </si>
  <si>
    <t>Level</t>
  </si>
  <si>
    <t>adana</t>
  </si>
  <si>
    <t>Canakkale</t>
  </si>
  <si>
    <t>Edirne</t>
  </si>
  <si>
    <t>Kirklareli</t>
  </si>
  <si>
    <t>Tekirdag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</si>
</sst>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9" fontId="0" fillId="0" borderId="1" xfId="1" applyNumberFormat="1" applyFont="1" applyBorder="1" applyAlignment="1">
      <alignment horizontal="center" vertical="center"/>
    </xf>
    <xf numFmtId="9" fontId="0" fillId="4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3" fillId="0" borderId="0" xfId="2"/>
    <xf numFmtId="0" fontId="3" fillId="0" borderId="0" xfId="2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DFD376A6-CA0D-468A-8FC6-7AEB2CDFB07C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61C8-3F8F-4BB3-9A00-C1281410A60C}">
  <dimension ref="A1:L150"/>
  <sheetViews>
    <sheetView workbookViewId="0">
      <selection activeCell="C37" sqref="C37"/>
    </sheetView>
  </sheetViews>
  <sheetFormatPr defaultRowHeight="15" x14ac:dyDescent="0.25"/>
  <cols>
    <col min="1" max="1" width="9.140625" style="1"/>
    <col min="2" max="2" width="9.7109375" style="1" bestFit="1" customWidth="1"/>
    <col min="3" max="6" width="15.140625" style="1" customWidth="1"/>
    <col min="7" max="7" width="11.28515625" style="1" customWidth="1"/>
  </cols>
  <sheetData>
    <row r="1" spans="1:12" ht="37.5" customHeight="1" x14ac:dyDescent="0.25">
      <c r="A1" s="6" t="s">
        <v>17</v>
      </c>
      <c r="B1" s="6" t="s">
        <v>18</v>
      </c>
      <c r="C1" s="6" t="s">
        <v>0</v>
      </c>
      <c r="D1" s="6" t="s">
        <v>20</v>
      </c>
      <c r="E1" s="7" t="s">
        <v>16</v>
      </c>
      <c r="F1" s="6" t="s">
        <v>1</v>
      </c>
      <c r="G1" s="7" t="s">
        <v>19</v>
      </c>
      <c r="K1" t="s">
        <v>41</v>
      </c>
    </row>
    <row r="2" spans="1:12" x14ac:dyDescent="0.25">
      <c r="A2" s="2">
        <v>1970</v>
      </c>
      <c r="B2" s="2" t="s">
        <v>2</v>
      </c>
      <c r="C2" s="3">
        <v>1035377</v>
      </c>
      <c r="D2" s="3">
        <v>10000</v>
      </c>
      <c r="E2" s="4">
        <v>520251</v>
      </c>
      <c r="F2" s="4">
        <v>525668</v>
      </c>
      <c r="G2" s="5">
        <f t="shared" ref="G2:G33" si="0">E2/F2</f>
        <v>0.98969501662646386</v>
      </c>
      <c r="K2" t="s">
        <v>2</v>
      </c>
      <c r="L2" t="s">
        <v>2</v>
      </c>
    </row>
    <row r="3" spans="1:12" x14ac:dyDescent="0.25">
      <c r="A3" s="2">
        <v>1975</v>
      </c>
      <c r="B3" s="2" t="s">
        <v>2</v>
      </c>
      <c r="C3" s="3">
        <v>1240475</v>
      </c>
      <c r="D3" s="3">
        <v>10000</v>
      </c>
      <c r="E3" s="4">
        <v>714745</v>
      </c>
      <c r="F3" s="4">
        <v>706186</v>
      </c>
      <c r="G3" s="5">
        <f t="shared" si="0"/>
        <v>1.0121200363643572</v>
      </c>
      <c r="K3" t="s">
        <v>7</v>
      </c>
      <c r="L3" t="s">
        <v>7</v>
      </c>
    </row>
    <row r="4" spans="1:12" x14ac:dyDescent="0.25">
      <c r="A4" s="2">
        <v>1980</v>
      </c>
      <c r="B4" s="2" t="s">
        <v>2</v>
      </c>
      <c r="C4" s="3">
        <v>1485743</v>
      </c>
      <c r="D4" s="3">
        <v>10000</v>
      </c>
      <c r="E4" s="4">
        <v>859807</v>
      </c>
      <c r="F4" s="4">
        <v>842854</v>
      </c>
      <c r="G4" s="5">
        <f t="shared" si="0"/>
        <v>1.0201138038141837</v>
      </c>
      <c r="K4" t="s">
        <v>8</v>
      </c>
      <c r="L4" t="s">
        <v>8</v>
      </c>
    </row>
    <row r="5" spans="1:12" x14ac:dyDescent="0.25">
      <c r="A5" s="2">
        <v>1985</v>
      </c>
      <c r="B5" s="2" t="s">
        <v>2</v>
      </c>
      <c r="C5" s="3">
        <v>1725940</v>
      </c>
      <c r="D5" s="3">
        <v>10000</v>
      </c>
      <c r="E5" s="4">
        <v>1119357</v>
      </c>
      <c r="F5" s="4">
        <v>1142201</v>
      </c>
      <c r="G5" s="5">
        <f t="shared" si="0"/>
        <v>0.98000001751005295</v>
      </c>
      <c r="K5" t="s">
        <v>9</v>
      </c>
      <c r="L5" t="s">
        <v>9</v>
      </c>
    </row>
    <row r="6" spans="1:12" x14ac:dyDescent="0.25">
      <c r="A6" s="2">
        <v>1990</v>
      </c>
      <c r="B6" s="2" t="s">
        <v>2</v>
      </c>
      <c r="C6" s="3">
        <v>1934907</v>
      </c>
      <c r="D6" s="3">
        <v>10000</v>
      </c>
      <c r="E6" s="4">
        <v>1313922</v>
      </c>
      <c r="F6" s="4">
        <v>1350339</v>
      </c>
      <c r="G6" s="5">
        <f t="shared" si="0"/>
        <v>0.97303121660560787</v>
      </c>
      <c r="K6" t="s">
        <v>10</v>
      </c>
      <c r="L6" t="s">
        <v>10</v>
      </c>
    </row>
    <row r="7" spans="1:12" x14ac:dyDescent="0.25">
      <c r="A7" s="2">
        <v>2000</v>
      </c>
      <c r="B7" s="2" t="s">
        <v>2</v>
      </c>
      <c r="C7" s="3">
        <v>1849478</v>
      </c>
      <c r="D7" s="3">
        <v>10000</v>
      </c>
      <c r="E7" s="4">
        <v>1392120</v>
      </c>
      <c r="F7" s="4">
        <v>1397853</v>
      </c>
      <c r="G7" s="5">
        <f t="shared" si="0"/>
        <v>0.99589871037941757</v>
      </c>
      <c r="K7" t="s">
        <v>11</v>
      </c>
      <c r="L7" t="s">
        <v>11</v>
      </c>
    </row>
    <row r="8" spans="1:12" x14ac:dyDescent="0.25">
      <c r="A8" s="8">
        <v>1975</v>
      </c>
      <c r="B8" s="8" t="s">
        <v>7</v>
      </c>
      <c r="C8" s="9">
        <v>346892</v>
      </c>
      <c r="D8" s="9">
        <v>5000</v>
      </c>
      <c r="E8" s="10">
        <v>95866</v>
      </c>
      <c r="F8" s="10">
        <v>100722</v>
      </c>
      <c r="G8" s="11">
        <f t="shared" si="0"/>
        <v>0.9517880899902702</v>
      </c>
      <c r="K8" t="s">
        <v>5</v>
      </c>
      <c r="L8" t="s">
        <v>5</v>
      </c>
    </row>
    <row r="9" spans="1:12" x14ac:dyDescent="0.25">
      <c r="A9" s="8">
        <v>1980</v>
      </c>
      <c r="B9" s="8" t="s">
        <v>7</v>
      </c>
      <c r="C9" s="9">
        <v>367595</v>
      </c>
      <c r="D9" s="9">
        <v>5000</v>
      </c>
      <c r="E9" s="10">
        <v>111068</v>
      </c>
      <c r="F9" s="10">
        <v>116986</v>
      </c>
      <c r="G9" s="11">
        <f t="shared" si="0"/>
        <v>0.94941275024361893</v>
      </c>
      <c r="K9" t="s">
        <v>12</v>
      </c>
      <c r="L9" t="s">
        <v>12</v>
      </c>
    </row>
    <row r="10" spans="1:12" x14ac:dyDescent="0.25">
      <c r="A10" s="8">
        <v>1985</v>
      </c>
      <c r="B10" s="8" t="s">
        <v>7</v>
      </c>
      <c r="C10" s="9">
        <v>430728</v>
      </c>
      <c r="D10" s="9">
        <v>5000</v>
      </c>
      <c r="E10" s="10">
        <v>144127</v>
      </c>
      <c r="F10" s="10">
        <v>150991</v>
      </c>
      <c r="G10" s="11">
        <f t="shared" si="0"/>
        <v>0.95454033684126871</v>
      </c>
      <c r="K10" t="s">
        <v>13</v>
      </c>
      <c r="L10" t="s">
        <v>13</v>
      </c>
    </row>
    <row r="11" spans="1:12" x14ac:dyDescent="0.25">
      <c r="A11" s="8">
        <v>1990</v>
      </c>
      <c r="B11" s="8" t="s">
        <v>7</v>
      </c>
      <c r="C11" s="9">
        <v>513131</v>
      </c>
      <c r="D11" s="9">
        <v>5000</v>
      </c>
      <c r="E11" s="10">
        <v>210489</v>
      </c>
      <c r="F11" s="10">
        <v>219304</v>
      </c>
      <c r="G11" s="11">
        <f t="shared" si="0"/>
        <v>0.95980465472585996</v>
      </c>
      <c r="K11" t="s">
        <v>14</v>
      </c>
      <c r="L11" t="s">
        <v>14</v>
      </c>
    </row>
    <row r="12" spans="1:12" x14ac:dyDescent="0.25">
      <c r="A12" s="8">
        <v>2000</v>
      </c>
      <c r="B12" s="8" t="s">
        <v>7</v>
      </c>
      <c r="C12" s="9">
        <v>623811</v>
      </c>
      <c r="D12" s="9">
        <v>5000</v>
      </c>
      <c r="E12" s="10">
        <v>351328</v>
      </c>
      <c r="F12" s="10">
        <v>338939</v>
      </c>
      <c r="G12" s="11">
        <f t="shared" si="0"/>
        <v>1.0365522999713812</v>
      </c>
      <c r="K12" t="s">
        <v>15</v>
      </c>
      <c r="L12" t="s">
        <v>15</v>
      </c>
    </row>
    <row r="13" spans="1:12" x14ac:dyDescent="0.25">
      <c r="A13" s="2">
        <v>1975</v>
      </c>
      <c r="B13" s="2" t="s">
        <v>8</v>
      </c>
      <c r="C13" s="3">
        <v>579171</v>
      </c>
      <c r="D13" s="3">
        <v>5000</v>
      </c>
      <c r="E13" s="4">
        <v>167283</v>
      </c>
      <c r="F13" s="4">
        <v>169494</v>
      </c>
      <c r="G13" s="5">
        <f t="shared" si="0"/>
        <v>0.98695529045275943</v>
      </c>
      <c r="K13" t="s">
        <v>23</v>
      </c>
      <c r="L13" t="s">
        <v>23</v>
      </c>
    </row>
    <row r="14" spans="1:12" x14ac:dyDescent="0.25">
      <c r="A14" s="2">
        <v>1980</v>
      </c>
      <c r="B14" s="2" t="s">
        <v>8</v>
      </c>
      <c r="C14" s="3">
        <v>597516</v>
      </c>
      <c r="D14" s="3">
        <v>5000</v>
      </c>
      <c r="E14" s="4">
        <v>198719</v>
      </c>
      <c r="F14" s="4">
        <v>191298</v>
      </c>
      <c r="G14" s="5">
        <f t="shared" si="0"/>
        <v>1.0387928781273197</v>
      </c>
      <c r="K14" t="s">
        <v>24</v>
      </c>
      <c r="L14" t="s">
        <v>24</v>
      </c>
    </row>
    <row r="15" spans="1:12" x14ac:dyDescent="0.25">
      <c r="A15" s="2">
        <v>1985</v>
      </c>
      <c r="B15" s="2" t="s">
        <v>8</v>
      </c>
      <c r="C15" s="3">
        <v>666978</v>
      </c>
      <c r="D15" s="3">
        <v>10000</v>
      </c>
      <c r="E15" s="4">
        <v>211032</v>
      </c>
      <c r="F15" s="4">
        <v>229790</v>
      </c>
      <c r="G15" s="5">
        <f t="shared" si="0"/>
        <v>0.91836894555898863</v>
      </c>
      <c r="K15" t="s">
        <v>25</v>
      </c>
      <c r="L15" t="s">
        <v>25</v>
      </c>
    </row>
    <row r="16" spans="1:12" x14ac:dyDescent="0.25">
      <c r="A16" s="2">
        <v>1990</v>
      </c>
      <c r="B16" s="2" t="s">
        <v>8</v>
      </c>
      <c r="C16" s="3">
        <v>739223</v>
      </c>
      <c r="D16" s="3">
        <v>5000</v>
      </c>
      <c r="E16" s="4">
        <v>331380</v>
      </c>
      <c r="F16" s="4">
        <v>306209</v>
      </c>
      <c r="G16" s="5">
        <f t="shared" si="0"/>
        <v>1.0822020254140146</v>
      </c>
      <c r="K16" t="s">
        <v>26</v>
      </c>
      <c r="L16" t="s">
        <v>26</v>
      </c>
    </row>
    <row r="17" spans="1:12" x14ac:dyDescent="0.25">
      <c r="A17" s="2">
        <v>2000</v>
      </c>
      <c r="B17" s="2" t="s">
        <v>8</v>
      </c>
      <c r="C17" s="3">
        <v>812416</v>
      </c>
      <c r="D17" s="3">
        <v>10000</v>
      </c>
      <c r="E17" s="4">
        <v>316959</v>
      </c>
      <c r="F17" s="4">
        <v>371868</v>
      </c>
      <c r="G17" s="5">
        <f t="shared" si="0"/>
        <v>0.85234276678821519</v>
      </c>
      <c r="K17" t="s">
        <v>27</v>
      </c>
      <c r="L17" t="s">
        <v>27</v>
      </c>
    </row>
    <row r="18" spans="1:12" x14ac:dyDescent="0.25">
      <c r="A18" s="8">
        <v>1975</v>
      </c>
      <c r="B18" s="8" t="s">
        <v>9</v>
      </c>
      <c r="C18" s="9">
        <v>330201</v>
      </c>
      <c r="D18" s="9">
        <v>2000</v>
      </c>
      <c r="E18" s="10">
        <v>94403</v>
      </c>
      <c r="F18" s="10">
        <v>92386</v>
      </c>
      <c r="G18" s="11">
        <f t="shared" si="0"/>
        <v>1.0218323122551036</v>
      </c>
      <c r="K18" t="s">
        <v>28</v>
      </c>
      <c r="L18" t="s">
        <v>28</v>
      </c>
    </row>
    <row r="19" spans="1:12" x14ac:dyDescent="0.25">
      <c r="A19" s="8">
        <v>1980</v>
      </c>
      <c r="B19" s="8" t="s">
        <v>9</v>
      </c>
      <c r="C19" s="9">
        <v>368009</v>
      </c>
      <c r="D19" s="9">
        <v>2000</v>
      </c>
      <c r="E19" s="10">
        <v>110459</v>
      </c>
      <c r="F19" s="10">
        <v>108414</v>
      </c>
      <c r="G19" s="11">
        <f t="shared" si="0"/>
        <v>1.0188628774881472</v>
      </c>
      <c r="K19" t="s">
        <v>29</v>
      </c>
      <c r="L19" t="s">
        <v>29</v>
      </c>
    </row>
    <row r="20" spans="1:12" x14ac:dyDescent="0.25">
      <c r="A20" s="8">
        <v>1990</v>
      </c>
      <c r="B20" s="8" t="s">
        <v>9</v>
      </c>
      <c r="C20" s="9">
        <v>437093</v>
      </c>
      <c r="D20" s="9">
        <v>2000</v>
      </c>
      <c r="E20" s="10">
        <v>165619</v>
      </c>
      <c r="F20" s="10">
        <v>158758</v>
      </c>
      <c r="G20" s="11">
        <f t="shared" si="0"/>
        <v>1.0432167197873492</v>
      </c>
      <c r="K20" t="s">
        <v>30</v>
      </c>
      <c r="L20" t="s">
        <v>30</v>
      </c>
    </row>
    <row r="21" spans="1:12" x14ac:dyDescent="0.25">
      <c r="A21" s="8">
        <v>2000</v>
      </c>
      <c r="B21" s="8" t="s">
        <v>9</v>
      </c>
      <c r="C21" s="9">
        <v>528744</v>
      </c>
      <c r="D21" s="9">
        <v>5000</v>
      </c>
      <c r="E21" s="10">
        <v>248444</v>
      </c>
      <c r="F21" s="10">
        <v>252309</v>
      </c>
      <c r="G21" s="11">
        <f t="shared" si="0"/>
        <v>0.98468148183378312</v>
      </c>
      <c r="K21" t="s">
        <v>31</v>
      </c>
      <c r="L21" t="s">
        <v>31</v>
      </c>
    </row>
    <row r="22" spans="1:12" x14ac:dyDescent="0.25">
      <c r="A22" s="2">
        <v>1990</v>
      </c>
      <c r="B22" s="2" t="s">
        <v>10</v>
      </c>
      <c r="C22" s="3">
        <v>326399</v>
      </c>
      <c r="D22" s="3">
        <v>5000</v>
      </c>
      <c r="E22" s="4">
        <v>141165</v>
      </c>
      <c r="F22" s="4">
        <v>144217</v>
      </c>
      <c r="G22" s="5">
        <f t="shared" si="0"/>
        <v>0.97883744634821135</v>
      </c>
      <c r="K22" t="s">
        <v>32</v>
      </c>
      <c r="L22" t="s">
        <v>32</v>
      </c>
    </row>
    <row r="23" spans="1:12" x14ac:dyDescent="0.25">
      <c r="A23" s="2">
        <v>2000</v>
      </c>
      <c r="B23" s="2" t="s">
        <v>10</v>
      </c>
      <c r="C23" s="3">
        <v>396084</v>
      </c>
      <c r="D23" s="3">
        <v>5000</v>
      </c>
      <c r="E23" s="4">
        <v>196890</v>
      </c>
      <c r="F23" s="4">
        <v>200216</v>
      </c>
      <c r="G23" s="5">
        <f t="shared" si="0"/>
        <v>0.98338794102369442</v>
      </c>
      <c r="K23" t="s">
        <v>33</v>
      </c>
      <c r="L23" t="s">
        <v>33</v>
      </c>
    </row>
    <row r="24" spans="1:12" x14ac:dyDescent="0.25">
      <c r="A24" s="8">
        <v>1975</v>
      </c>
      <c r="B24" s="8" t="s">
        <v>11</v>
      </c>
      <c r="C24" s="9">
        <v>322806</v>
      </c>
      <c r="D24" s="9">
        <v>5000</v>
      </c>
      <c r="E24" s="10">
        <v>112880</v>
      </c>
      <c r="F24" s="10">
        <v>115480</v>
      </c>
      <c r="G24" s="11">
        <f t="shared" si="0"/>
        <v>0.9774852788361621</v>
      </c>
      <c r="K24" t="s">
        <v>34</v>
      </c>
      <c r="L24" t="s">
        <v>34</v>
      </c>
    </row>
    <row r="25" spans="1:12" x14ac:dyDescent="0.25">
      <c r="A25" s="8">
        <v>1980</v>
      </c>
      <c r="B25" s="8" t="s">
        <v>11</v>
      </c>
      <c r="C25" s="9">
        <v>341287</v>
      </c>
      <c r="D25" s="9">
        <v>5000</v>
      </c>
      <c r="E25" s="10">
        <v>125792</v>
      </c>
      <c r="F25" s="10">
        <v>128077</v>
      </c>
      <c r="G25" s="11">
        <f t="shared" si="0"/>
        <v>0.98215916987437246</v>
      </c>
      <c r="K25" t="s">
        <v>35</v>
      </c>
      <c r="L25" t="s">
        <v>35</v>
      </c>
    </row>
    <row r="26" spans="1:12" x14ac:dyDescent="0.25">
      <c r="A26" s="8">
        <v>1985</v>
      </c>
      <c r="B26" s="8" t="s">
        <v>11</v>
      </c>
      <c r="C26" s="9">
        <v>358289</v>
      </c>
      <c r="D26" s="9">
        <v>5000</v>
      </c>
      <c r="E26" s="10">
        <v>145912</v>
      </c>
      <c r="F26" s="10">
        <v>148614</v>
      </c>
      <c r="G26" s="11">
        <f t="shared" si="0"/>
        <v>0.9818186711884479</v>
      </c>
      <c r="K26" t="s">
        <v>36</v>
      </c>
      <c r="L26" t="s">
        <v>36</v>
      </c>
    </row>
    <row r="27" spans="1:12" x14ac:dyDescent="0.25">
      <c r="A27" s="8">
        <v>1990</v>
      </c>
      <c r="B27" s="8" t="s">
        <v>11</v>
      </c>
      <c r="C27" s="9">
        <v>357191</v>
      </c>
      <c r="D27" s="9">
        <v>5000</v>
      </c>
      <c r="E27" s="10">
        <v>158309</v>
      </c>
      <c r="F27" s="10">
        <v>162544</v>
      </c>
      <c r="G27" s="11">
        <f t="shared" si="0"/>
        <v>0.97394551629097348</v>
      </c>
      <c r="K27" t="s">
        <v>4</v>
      </c>
      <c r="L27" t="s">
        <v>4</v>
      </c>
    </row>
    <row r="28" spans="1:12" x14ac:dyDescent="0.25">
      <c r="A28" s="8">
        <v>2000</v>
      </c>
      <c r="B28" s="8" t="s">
        <v>11</v>
      </c>
      <c r="C28" s="9">
        <v>365231</v>
      </c>
      <c r="D28" s="9">
        <v>5000</v>
      </c>
      <c r="E28" s="10">
        <v>192334</v>
      </c>
      <c r="F28" s="10">
        <v>196621</v>
      </c>
      <c r="G28" s="11">
        <f t="shared" si="0"/>
        <v>0.97819663209931795</v>
      </c>
      <c r="K28" t="s">
        <v>37</v>
      </c>
      <c r="L28" t="s">
        <v>37</v>
      </c>
    </row>
    <row r="29" spans="1:12" x14ac:dyDescent="0.25">
      <c r="A29" s="2">
        <v>1970</v>
      </c>
      <c r="B29" s="2" t="s">
        <v>5</v>
      </c>
      <c r="C29" s="3">
        <v>2041658</v>
      </c>
      <c r="D29" s="3">
        <v>10000</v>
      </c>
      <c r="E29" s="4">
        <v>1424783</v>
      </c>
      <c r="F29" s="4">
        <v>1467304</v>
      </c>
      <c r="G29" s="5">
        <f t="shared" si="0"/>
        <v>0.97102100178286166</v>
      </c>
      <c r="K29" t="s">
        <v>3</v>
      </c>
      <c r="L29" t="s">
        <v>3</v>
      </c>
    </row>
    <row r="30" spans="1:12" x14ac:dyDescent="0.25">
      <c r="A30" s="2">
        <v>1975</v>
      </c>
      <c r="B30" s="2" t="s">
        <v>5</v>
      </c>
      <c r="C30" s="3">
        <v>2585293</v>
      </c>
      <c r="D30" s="3">
        <v>10000</v>
      </c>
      <c r="E30" s="4">
        <v>1964987</v>
      </c>
      <c r="F30" s="4">
        <v>1997980</v>
      </c>
      <c r="G30" s="5">
        <f t="shared" si="0"/>
        <v>0.98348682168990675</v>
      </c>
      <c r="K30" t="s">
        <v>38</v>
      </c>
      <c r="L30" t="s">
        <v>38</v>
      </c>
    </row>
    <row r="31" spans="1:12" x14ac:dyDescent="0.25">
      <c r="A31" s="2">
        <v>1980</v>
      </c>
      <c r="B31" s="2" t="s">
        <v>6</v>
      </c>
      <c r="C31" s="3">
        <v>2854689</v>
      </c>
      <c r="D31" s="3">
        <v>10000</v>
      </c>
      <c r="E31" s="4">
        <v>2220479</v>
      </c>
      <c r="F31" s="4">
        <v>2238967</v>
      </c>
      <c r="G31" s="5">
        <f t="shared" si="0"/>
        <v>0.99174262059244289</v>
      </c>
      <c r="K31" t="s">
        <v>39</v>
      </c>
      <c r="L31" t="s">
        <v>39</v>
      </c>
    </row>
    <row r="32" spans="1:12" x14ac:dyDescent="0.25">
      <c r="A32" s="2">
        <v>1985</v>
      </c>
      <c r="B32" s="2" t="s">
        <v>6</v>
      </c>
      <c r="C32" s="3">
        <v>3306327</v>
      </c>
      <c r="D32" s="3">
        <v>10000</v>
      </c>
      <c r="E32" s="4">
        <v>2687318</v>
      </c>
      <c r="F32" s="4">
        <v>2737209</v>
      </c>
      <c r="G32" s="5">
        <f t="shared" si="0"/>
        <v>0.9817730396180927</v>
      </c>
      <c r="K32" t="s">
        <v>40</v>
      </c>
      <c r="L32" t="s">
        <v>40</v>
      </c>
    </row>
    <row r="33" spans="1:12" x14ac:dyDescent="0.25">
      <c r="A33" s="2">
        <v>1990</v>
      </c>
      <c r="B33" s="2" t="s">
        <v>6</v>
      </c>
      <c r="C33" s="3">
        <v>3236626</v>
      </c>
      <c r="D33" s="3">
        <v>10000</v>
      </c>
      <c r="E33" s="4">
        <v>2795556</v>
      </c>
      <c r="F33" s="4">
        <v>2836719</v>
      </c>
      <c r="G33" s="5">
        <f t="shared" si="0"/>
        <v>0.98548922187922028</v>
      </c>
      <c r="K33" t="s">
        <v>42</v>
      </c>
      <c r="L33" t="e">
        <v>#N/A</v>
      </c>
    </row>
    <row r="34" spans="1:12" x14ac:dyDescent="0.25">
      <c r="A34" s="2">
        <v>2000</v>
      </c>
      <c r="B34" s="2" t="s">
        <v>6</v>
      </c>
      <c r="C34" s="3">
        <v>4007860</v>
      </c>
      <c r="D34" s="3">
        <v>10000</v>
      </c>
      <c r="E34" s="4">
        <v>3553196</v>
      </c>
      <c r="F34" s="4">
        <v>3540522</v>
      </c>
      <c r="G34" s="5">
        <f t="shared" ref="G34:G65" si="1">E34/F34</f>
        <v>1.0035796981349079</v>
      </c>
      <c r="K34" t="s">
        <v>43</v>
      </c>
      <c r="L34" t="e">
        <v>#N/A</v>
      </c>
    </row>
    <row r="35" spans="1:12" x14ac:dyDescent="0.25">
      <c r="A35" s="8">
        <v>1975</v>
      </c>
      <c r="B35" s="8" t="s">
        <v>12</v>
      </c>
      <c r="C35" s="9">
        <v>669357</v>
      </c>
      <c r="D35" s="9">
        <v>5000</v>
      </c>
      <c r="E35" s="10">
        <v>227393</v>
      </c>
      <c r="F35" s="10">
        <v>223089</v>
      </c>
      <c r="G35" s="11">
        <f t="shared" si="1"/>
        <v>1.0192927486339534</v>
      </c>
      <c r="K35" t="s">
        <v>44</v>
      </c>
      <c r="L35" t="e">
        <v>#N/A</v>
      </c>
    </row>
    <row r="36" spans="1:12" x14ac:dyDescent="0.25">
      <c r="A36" s="8">
        <v>1980</v>
      </c>
      <c r="B36" s="8" t="s">
        <v>12</v>
      </c>
      <c r="C36" s="9">
        <v>748706</v>
      </c>
      <c r="D36" s="9">
        <v>5000</v>
      </c>
      <c r="E36" s="10">
        <v>284174</v>
      </c>
      <c r="F36" s="10">
        <v>280837</v>
      </c>
      <c r="G36" s="11">
        <f t="shared" si="1"/>
        <v>1.0118823374412915</v>
      </c>
      <c r="K36" t="s">
        <v>45</v>
      </c>
      <c r="L36" t="e">
        <v>#N/A</v>
      </c>
    </row>
    <row r="37" spans="1:12" x14ac:dyDescent="0.25">
      <c r="A37" s="8">
        <v>1985</v>
      </c>
      <c r="B37" s="8" t="s">
        <v>12</v>
      </c>
      <c r="C37" s="9">
        <v>891149</v>
      </c>
      <c r="D37" s="9">
        <v>5000</v>
      </c>
      <c r="E37" s="10">
        <v>409148</v>
      </c>
      <c r="F37" s="10">
        <v>397712</v>
      </c>
      <c r="G37" s="11">
        <f t="shared" si="1"/>
        <v>1.0287544756004345</v>
      </c>
      <c r="K37" t="s">
        <v>46</v>
      </c>
      <c r="L37" t="e">
        <v>#N/A</v>
      </c>
    </row>
    <row r="38" spans="1:12" x14ac:dyDescent="0.25">
      <c r="A38" s="8">
        <v>1990</v>
      </c>
      <c r="B38" s="8" t="s">
        <v>12</v>
      </c>
      <c r="C38" s="9">
        <v>1132211</v>
      </c>
      <c r="D38" s="9">
        <v>10000</v>
      </c>
      <c r="E38" s="10">
        <v>585049</v>
      </c>
      <c r="F38" s="10">
        <v>602194</v>
      </c>
      <c r="G38" s="11">
        <f t="shared" si="1"/>
        <v>0.97152910855969998</v>
      </c>
      <c r="K38" t="s">
        <v>47</v>
      </c>
      <c r="L38" t="e">
        <v>#N/A</v>
      </c>
    </row>
    <row r="39" spans="1:12" x14ac:dyDescent="0.25">
      <c r="A39" s="8">
        <v>2000</v>
      </c>
      <c r="B39" s="8" t="s">
        <v>12</v>
      </c>
      <c r="C39" s="9">
        <v>1719751</v>
      </c>
      <c r="D39" s="9">
        <v>10000</v>
      </c>
      <c r="E39" s="10">
        <v>888667</v>
      </c>
      <c r="F39" s="10">
        <v>936330</v>
      </c>
      <c r="G39" s="11">
        <f t="shared" si="1"/>
        <v>0.94909593839778705</v>
      </c>
      <c r="K39" t="s">
        <v>48</v>
      </c>
      <c r="L39" t="e">
        <v>#N/A</v>
      </c>
    </row>
    <row r="40" spans="1:12" x14ac:dyDescent="0.25">
      <c r="A40" s="2">
        <v>2000</v>
      </c>
      <c r="B40" s="2" t="s">
        <v>13</v>
      </c>
      <c r="C40" s="3">
        <v>133756</v>
      </c>
      <c r="D40" s="3">
        <v>2000</v>
      </c>
      <c r="E40" s="4">
        <v>41923</v>
      </c>
      <c r="F40" s="4">
        <v>39725</v>
      </c>
      <c r="G40" s="5">
        <f t="shared" si="1"/>
        <v>1.055330396475771</v>
      </c>
      <c r="K40" t="s">
        <v>49</v>
      </c>
      <c r="L40" t="e">
        <v>#N/A</v>
      </c>
    </row>
    <row r="41" spans="1:12" x14ac:dyDescent="0.25">
      <c r="A41" s="8">
        <v>1975</v>
      </c>
      <c r="B41" s="8" t="s">
        <v>14</v>
      </c>
      <c r="C41" s="9">
        <v>228026</v>
      </c>
      <c r="D41" s="9">
        <v>5000</v>
      </c>
      <c r="E41" s="10">
        <v>33860</v>
      </c>
      <c r="F41" s="10">
        <v>42496</v>
      </c>
      <c r="G41" s="11">
        <f t="shared" si="1"/>
        <v>0.79678087349397586</v>
      </c>
      <c r="K41" t="s">
        <v>50</v>
      </c>
      <c r="L41" t="e">
        <v>#N/A</v>
      </c>
    </row>
    <row r="42" spans="1:12" x14ac:dyDescent="0.25">
      <c r="A42" s="8">
        <v>1980</v>
      </c>
      <c r="B42" s="8" t="s">
        <v>14</v>
      </c>
      <c r="C42" s="9">
        <v>228997</v>
      </c>
      <c r="D42" s="9">
        <v>5000</v>
      </c>
      <c r="E42" s="10">
        <v>31320</v>
      </c>
      <c r="F42" s="10">
        <v>46208</v>
      </c>
      <c r="G42" s="11">
        <f t="shared" si="1"/>
        <v>0.67780470914127422</v>
      </c>
      <c r="K42" t="s">
        <v>51</v>
      </c>
      <c r="L42" t="e">
        <v>#N/A</v>
      </c>
    </row>
    <row r="43" spans="1:12" x14ac:dyDescent="0.25">
      <c r="A43" s="8">
        <v>1985</v>
      </c>
      <c r="B43" s="8" t="s">
        <v>14</v>
      </c>
      <c r="C43" s="9">
        <v>226338</v>
      </c>
      <c r="D43" s="9">
        <v>5000</v>
      </c>
      <c r="E43" s="10">
        <v>50802</v>
      </c>
      <c r="F43" s="10">
        <v>58302</v>
      </c>
      <c r="G43" s="11">
        <f t="shared" si="1"/>
        <v>0.87135947308840178</v>
      </c>
      <c r="K43" t="s">
        <v>52</v>
      </c>
      <c r="L43" t="e">
        <v>#N/A</v>
      </c>
    </row>
    <row r="44" spans="1:12" x14ac:dyDescent="0.25">
      <c r="A44" s="8">
        <v>1990</v>
      </c>
      <c r="B44" s="8" t="s">
        <v>14</v>
      </c>
      <c r="C44" s="9">
        <v>212833</v>
      </c>
      <c r="D44" s="9">
        <v>5000</v>
      </c>
      <c r="E44" s="10">
        <v>53015</v>
      </c>
      <c r="F44" s="10">
        <v>66097</v>
      </c>
      <c r="G44" s="11">
        <f t="shared" si="1"/>
        <v>0.80207876303009218</v>
      </c>
      <c r="K44" t="s">
        <v>53</v>
      </c>
      <c r="L44" t="e">
        <v>#N/A</v>
      </c>
    </row>
    <row r="45" spans="1:12" x14ac:dyDescent="0.25">
      <c r="A45" s="8">
        <v>2000</v>
      </c>
      <c r="B45" s="8" t="s">
        <v>14</v>
      </c>
      <c r="C45" s="9">
        <v>191934</v>
      </c>
      <c r="D45" s="9">
        <v>5000</v>
      </c>
      <c r="E45" s="10">
        <v>80397</v>
      </c>
      <c r="F45" s="10">
        <v>84198</v>
      </c>
      <c r="G45" s="11">
        <f t="shared" si="1"/>
        <v>0.95485640989097131</v>
      </c>
      <c r="K45" t="s">
        <v>54</v>
      </c>
      <c r="L45" t="e">
        <v>#N/A</v>
      </c>
    </row>
    <row r="46" spans="1:12" x14ac:dyDescent="0.25">
      <c r="A46" s="2">
        <v>1975</v>
      </c>
      <c r="B46" s="2" t="s">
        <v>15</v>
      </c>
      <c r="C46" s="3">
        <v>609869</v>
      </c>
      <c r="D46" s="3">
        <v>10000</v>
      </c>
      <c r="E46" s="4">
        <v>189538</v>
      </c>
      <c r="F46" s="4">
        <v>214505</v>
      </c>
      <c r="G46" s="5">
        <f t="shared" si="1"/>
        <v>0.88360644274026245</v>
      </c>
      <c r="K46" t="s">
        <v>55</v>
      </c>
      <c r="L46" t="e">
        <v>#N/A</v>
      </c>
    </row>
    <row r="47" spans="1:12" x14ac:dyDescent="0.25">
      <c r="A47" s="2">
        <v>1980</v>
      </c>
      <c r="B47" s="2" t="s">
        <v>15</v>
      </c>
      <c r="C47" s="3">
        <v>652488</v>
      </c>
      <c r="D47" s="3">
        <v>10000</v>
      </c>
      <c r="E47" s="4">
        <v>211320</v>
      </c>
      <c r="F47" s="4">
        <v>245329</v>
      </c>
      <c r="G47" s="5">
        <f t="shared" si="1"/>
        <v>0.86137391013699971</v>
      </c>
      <c r="K47" t="s">
        <v>56</v>
      </c>
      <c r="L47" t="e">
        <v>#N/A</v>
      </c>
    </row>
    <row r="48" spans="1:12" x14ac:dyDescent="0.25">
      <c r="A48" s="2">
        <v>1985</v>
      </c>
      <c r="B48" s="2" t="s">
        <v>15</v>
      </c>
      <c r="C48" s="3">
        <v>743419</v>
      </c>
      <c r="D48" s="3">
        <v>10000</v>
      </c>
      <c r="E48" s="4">
        <v>274606</v>
      </c>
      <c r="F48" s="4">
        <v>302311</v>
      </c>
      <c r="G48" s="5">
        <f t="shared" si="1"/>
        <v>0.90835596455305956</v>
      </c>
      <c r="K48" t="s">
        <v>57</v>
      </c>
      <c r="L48" t="e">
        <v>#N/A</v>
      </c>
    </row>
    <row r="49" spans="1:12" x14ac:dyDescent="0.25">
      <c r="A49" s="2">
        <v>1990</v>
      </c>
      <c r="B49" s="2" t="s">
        <v>15</v>
      </c>
      <c r="C49" s="3">
        <v>824816</v>
      </c>
      <c r="D49" s="3">
        <v>10000</v>
      </c>
      <c r="E49" s="4">
        <v>344913</v>
      </c>
      <c r="F49" s="4">
        <v>384711</v>
      </c>
      <c r="G49" s="5">
        <f t="shared" si="1"/>
        <v>0.89655091744192394</v>
      </c>
      <c r="K49" t="s">
        <v>58</v>
      </c>
      <c r="L49" t="e">
        <v>#N/A</v>
      </c>
    </row>
    <row r="50" spans="1:12" x14ac:dyDescent="0.25">
      <c r="A50" s="2">
        <v>2000</v>
      </c>
      <c r="B50" s="2" t="s">
        <v>15</v>
      </c>
      <c r="C50" s="3">
        <v>950757</v>
      </c>
      <c r="D50" s="3">
        <v>10000</v>
      </c>
      <c r="E50" s="4">
        <v>464681</v>
      </c>
      <c r="F50" s="4">
        <v>493114</v>
      </c>
      <c r="G50" s="5">
        <f t="shared" si="1"/>
        <v>0.94233990517405708</v>
      </c>
      <c r="K50" t="s">
        <v>59</v>
      </c>
      <c r="L50" t="e">
        <v>#N/A</v>
      </c>
    </row>
    <row r="51" spans="1:12" x14ac:dyDescent="0.25">
      <c r="A51" s="8">
        <v>1975</v>
      </c>
      <c r="B51" s="8" t="s">
        <v>23</v>
      </c>
      <c r="C51" s="9">
        <v>789255</v>
      </c>
      <c r="D51" s="9">
        <v>5000</v>
      </c>
      <c r="E51" s="10">
        <v>291903</v>
      </c>
      <c r="F51" s="10">
        <v>294827</v>
      </c>
      <c r="G51" s="11">
        <f t="shared" si="1"/>
        <v>0.99008231946192171</v>
      </c>
      <c r="K51" t="s">
        <v>60</v>
      </c>
      <c r="L51" t="e">
        <v>#N/A</v>
      </c>
    </row>
    <row r="52" spans="1:12" x14ac:dyDescent="0.25">
      <c r="A52" s="8">
        <v>1980</v>
      </c>
      <c r="B52" s="8" t="s">
        <v>23</v>
      </c>
      <c r="C52" s="9">
        <v>853177</v>
      </c>
      <c r="D52" s="9">
        <v>5000</v>
      </c>
      <c r="E52" s="10">
        <v>350437</v>
      </c>
      <c r="F52" s="10">
        <v>344368</v>
      </c>
      <c r="G52" s="11">
        <f t="shared" si="1"/>
        <v>1.0176235887190448</v>
      </c>
      <c r="K52" t="s">
        <v>61</v>
      </c>
      <c r="L52" t="e">
        <v>#N/A</v>
      </c>
    </row>
    <row r="53" spans="1:12" x14ac:dyDescent="0.25">
      <c r="A53" s="8">
        <v>1985</v>
      </c>
      <c r="B53" s="8" t="s">
        <v>23</v>
      </c>
      <c r="C53" s="9">
        <v>910282</v>
      </c>
      <c r="D53" s="9">
        <v>5000</v>
      </c>
      <c r="E53" s="10">
        <v>428041</v>
      </c>
      <c r="F53" s="10">
        <v>407585</v>
      </c>
      <c r="G53" s="11">
        <f t="shared" si="1"/>
        <v>1.0501883042800888</v>
      </c>
      <c r="K53" t="s">
        <v>62</v>
      </c>
      <c r="L53" t="e">
        <v>#N/A</v>
      </c>
    </row>
    <row r="54" spans="1:12" x14ac:dyDescent="0.25">
      <c r="A54" s="8">
        <v>1990</v>
      </c>
      <c r="B54" s="8" t="s">
        <v>23</v>
      </c>
      <c r="C54" s="9">
        <v>973314</v>
      </c>
      <c r="D54" s="9">
        <v>5000</v>
      </c>
      <c r="E54" s="10">
        <v>496356</v>
      </c>
      <c r="F54" s="10">
        <v>468758</v>
      </c>
      <c r="G54" s="11">
        <f t="shared" si="1"/>
        <v>1.0588747285379663</v>
      </c>
      <c r="K54" t="s">
        <v>63</v>
      </c>
      <c r="L54" t="e">
        <v>#N/A</v>
      </c>
    </row>
    <row r="55" spans="1:12" x14ac:dyDescent="0.25">
      <c r="A55" s="8">
        <v>2000</v>
      </c>
      <c r="B55" s="8" t="s">
        <v>23</v>
      </c>
      <c r="C55" s="9">
        <v>1076347</v>
      </c>
      <c r="D55" s="9">
        <v>10000</v>
      </c>
      <c r="E55" s="10">
        <v>585282</v>
      </c>
      <c r="F55" s="10">
        <v>577595</v>
      </c>
      <c r="G55" s="11">
        <f t="shared" si="1"/>
        <v>1.0133086332118526</v>
      </c>
      <c r="K55" t="s">
        <v>64</v>
      </c>
      <c r="L55" t="e">
        <v>#N/A</v>
      </c>
    </row>
    <row r="56" spans="1:12" x14ac:dyDescent="0.25">
      <c r="A56" s="2">
        <v>2000</v>
      </c>
      <c r="B56" s="2" t="s">
        <v>24</v>
      </c>
      <c r="C56" s="3">
        <v>184178</v>
      </c>
      <c r="D56" s="3">
        <v>5000</v>
      </c>
      <c r="E56" s="4">
        <v>42330</v>
      </c>
      <c r="F56" s="4">
        <v>48002</v>
      </c>
      <c r="G56" s="5">
        <f t="shared" si="1"/>
        <v>0.8818382567393025</v>
      </c>
      <c r="K56" t="s">
        <v>65</v>
      </c>
      <c r="L56" t="e">
        <v>#N/A</v>
      </c>
    </row>
    <row r="57" spans="1:12" x14ac:dyDescent="0.25">
      <c r="A57" s="8">
        <v>2000</v>
      </c>
      <c r="B57" s="8" t="s">
        <v>25</v>
      </c>
      <c r="C57" s="9">
        <v>456734</v>
      </c>
      <c r="D57" s="9">
        <v>5000</v>
      </c>
      <c r="E57" s="10">
        <v>311143</v>
      </c>
      <c r="F57" s="10">
        <v>304166</v>
      </c>
      <c r="G57" s="11">
        <f t="shared" si="1"/>
        <v>1.0229381324671396</v>
      </c>
      <c r="K57" t="s">
        <v>66</v>
      </c>
      <c r="L57" t="e">
        <v>#N/A</v>
      </c>
    </row>
    <row r="58" spans="1:12" x14ac:dyDescent="0.25">
      <c r="A58" s="2">
        <v>1990</v>
      </c>
      <c r="B58" s="2" t="s">
        <v>26</v>
      </c>
      <c r="C58" s="3">
        <v>107330</v>
      </c>
      <c r="D58" s="3">
        <v>5000</v>
      </c>
      <c r="E58" s="4">
        <v>38843</v>
      </c>
      <c r="F58" s="4">
        <v>41295</v>
      </c>
      <c r="G58" s="5">
        <f t="shared" si="1"/>
        <v>0.94062235137425843</v>
      </c>
      <c r="K58" t="s">
        <v>67</v>
      </c>
      <c r="L58" t="e">
        <v>#N/A</v>
      </c>
    </row>
    <row r="59" spans="1:12" x14ac:dyDescent="0.25">
      <c r="A59" s="2">
        <v>2000</v>
      </c>
      <c r="B59" s="2" t="s">
        <v>26</v>
      </c>
      <c r="C59" s="3">
        <v>97358</v>
      </c>
      <c r="D59" s="3">
        <v>5000</v>
      </c>
      <c r="E59" s="4">
        <v>39295</v>
      </c>
      <c r="F59" s="4">
        <v>41356</v>
      </c>
      <c r="G59" s="5">
        <f t="shared" si="1"/>
        <v>0.95016442595995743</v>
      </c>
      <c r="K59" t="s">
        <v>68</v>
      </c>
      <c r="L59" t="e">
        <v>#N/A</v>
      </c>
    </row>
    <row r="60" spans="1:12" x14ac:dyDescent="0.25">
      <c r="A60" s="8">
        <v>1975</v>
      </c>
      <c r="B60" s="8" t="s">
        <v>27</v>
      </c>
      <c r="C60" s="9">
        <v>137120</v>
      </c>
      <c r="D60" s="9">
        <v>2000</v>
      </c>
      <c r="E60" s="10">
        <v>49392</v>
      </c>
      <c r="F60" s="10">
        <v>47219</v>
      </c>
      <c r="G60" s="11">
        <f t="shared" si="1"/>
        <v>1.04601961074991</v>
      </c>
      <c r="K60" t="s">
        <v>69</v>
      </c>
      <c r="L60" t="e">
        <v>#N/A</v>
      </c>
    </row>
    <row r="61" spans="1:12" x14ac:dyDescent="0.25">
      <c r="A61" s="8">
        <v>1980</v>
      </c>
      <c r="B61" s="8" t="s">
        <v>27</v>
      </c>
      <c r="C61" s="9">
        <v>147001</v>
      </c>
      <c r="D61" s="9">
        <v>5000</v>
      </c>
      <c r="E61" s="10">
        <v>56981</v>
      </c>
      <c r="F61" s="10">
        <v>56981</v>
      </c>
      <c r="G61" s="11">
        <f t="shared" si="1"/>
        <v>1</v>
      </c>
      <c r="K61" t="s">
        <v>70</v>
      </c>
      <c r="L61" t="e">
        <v>#N/A</v>
      </c>
    </row>
    <row r="62" spans="1:12" x14ac:dyDescent="0.25">
      <c r="A62" s="8">
        <v>1985</v>
      </c>
      <c r="B62" s="8" t="s">
        <v>27</v>
      </c>
      <c r="C62" s="9">
        <v>160909</v>
      </c>
      <c r="D62" s="9">
        <v>5000</v>
      </c>
      <c r="E62" s="10">
        <v>71521</v>
      </c>
      <c r="F62" s="10">
        <v>71521</v>
      </c>
      <c r="G62" s="11">
        <f t="shared" si="1"/>
        <v>1</v>
      </c>
      <c r="K62" t="s">
        <v>71</v>
      </c>
      <c r="L62" t="e">
        <v>#N/A</v>
      </c>
    </row>
    <row r="63" spans="1:12" x14ac:dyDescent="0.25">
      <c r="A63" s="8">
        <v>1990</v>
      </c>
      <c r="B63" s="8" t="s">
        <v>27</v>
      </c>
      <c r="C63" s="9">
        <v>175526</v>
      </c>
      <c r="D63" s="9">
        <v>5000</v>
      </c>
      <c r="E63" s="10">
        <v>87138</v>
      </c>
      <c r="F63" s="10">
        <v>90373</v>
      </c>
      <c r="G63" s="11">
        <f t="shared" si="1"/>
        <v>0.96420391045998255</v>
      </c>
      <c r="K63" t="s">
        <v>72</v>
      </c>
      <c r="L63" t="e">
        <v>#N/A</v>
      </c>
    </row>
    <row r="64" spans="1:12" x14ac:dyDescent="0.25">
      <c r="A64" s="2">
        <v>2000</v>
      </c>
      <c r="B64" s="2" t="s">
        <v>27</v>
      </c>
      <c r="C64" s="3">
        <v>194326</v>
      </c>
      <c r="D64" s="3">
        <v>5000</v>
      </c>
      <c r="E64" s="4">
        <v>120693</v>
      </c>
      <c r="F64" s="4">
        <v>124380</v>
      </c>
      <c r="G64" s="5">
        <f t="shared" si="1"/>
        <v>0.97035697057404724</v>
      </c>
      <c r="K64" t="s">
        <v>73</v>
      </c>
      <c r="L64" t="e">
        <v>#N/A</v>
      </c>
    </row>
    <row r="65" spans="1:12" x14ac:dyDescent="0.25">
      <c r="A65" s="2">
        <v>1975</v>
      </c>
      <c r="B65" s="2" t="s">
        <v>28</v>
      </c>
      <c r="C65" s="3">
        <v>210804</v>
      </c>
      <c r="D65" s="3">
        <v>2000</v>
      </c>
      <c r="E65" s="4">
        <v>42330</v>
      </c>
      <c r="F65" s="4">
        <v>45961</v>
      </c>
      <c r="G65" s="5">
        <f t="shared" si="1"/>
        <v>0.92099823763625688</v>
      </c>
      <c r="K65" t="s">
        <v>74</v>
      </c>
      <c r="L65" t="e">
        <v>#N/A</v>
      </c>
    </row>
    <row r="66" spans="1:12" x14ac:dyDescent="0.25">
      <c r="A66" s="2">
        <v>1980</v>
      </c>
      <c r="B66" s="2" t="s">
        <v>28</v>
      </c>
      <c r="C66" s="3">
        <v>228702</v>
      </c>
      <c r="D66" s="3"/>
      <c r="E66" s="4">
        <v>228702</v>
      </c>
      <c r="F66" s="4">
        <v>173705</v>
      </c>
      <c r="G66" s="5">
        <f t="shared" ref="G66:G97" si="2">E66/F66</f>
        <v>1.3166114965026914</v>
      </c>
      <c r="K66" t="s">
        <v>87</v>
      </c>
      <c r="L66" t="e">
        <v>#N/A</v>
      </c>
    </row>
    <row r="67" spans="1:12" x14ac:dyDescent="0.25">
      <c r="A67" s="2">
        <v>1985</v>
      </c>
      <c r="B67" s="2" t="s">
        <v>28</v>
      </c>
      <c r="C67" s="3">
        <v>241548</v>
      </c>
      <c r="D67" s="3">
        <v>5000</v>
      </c>
      <c r="E67" s="4">
        <v>57108</v>
      </c>
      <c r="F67" s="4">
        <v>61199</v>
      </c>
      <c r="G67" s="5">
        <f t="shared" si="2"/>
        <v>0.93315250249187076</v>
      </c>
      <c r="K67" t="s">
        <v>75</v>
      </c>
      <c r="L67" t="e">
        <v>#N/A</v>
      </c>
    </row>
    <row r="68" spans="1:12" x14ac:dyDescent="0.25">
      <c r="A68" s="2">
        <v>1990</v>
      </c>
      <c r="B68" s="2" t="s">
        <v>28</v>
      </c>
      <c r="C68" s="3">
        <v>250966</v>
      </c>
      <c r="D68" s="3">
        <v>2000</v>
      </c>
      <c r="E68" s="4">
        <v>94537</v>
      </c>
      <c r="F68" s="4">
        <v>86648</v>
      </c>
      <c r="G68" s="5">
        <f t="shared" si="2"/>
        <v>1.0910465330994368</v>
      </c>
      <c r="K68" t="s">
        <v>76</v>
      </c>
      <c r="L68" t="e">
        <v>#N/A</v>
      </c>
    </row>
    <row r="69" spans="1:12" x14ac:dyDescent="0.25">
      <c r="A69" s="2">
        <v>2000</v>
      </c>
      <c r="B69" s="2" t="s">
        <v>28</v>
      </c>
      <c r="C69" s="3">
        <v>253739</v>
      </c>
      <c r="D69" s="3">
        <v>5000</v>
      </c>
      <c r="E69" s="4">
        <v>110307</v>
      </c>
      <c r="F69" s="4">
        <v>123470</v>
      </c>
      <c r="G69" s="5">
        <f t="shared" si="2"/>
        <v>0.8933911071515348</v>
      </c>
      <c r="K69" t="s">
        <v>77</v>
      </c>
      <c r="L69" t="e">
        <v>#N/A</v>
      </c>
    </row>
    <row r="70" spans="1:12" x14ac:dyDescent="0.25">
      <c r="A70" s="8">
        <v>1975</v>
      </c>
      <c r="B70" s="8" t="s">
        <v>29</v>
      </c>
      <c r="C70" s="9">
        <v>218305</v>
      </c>
      <c r="D70" s="9">
        <v>5000</v>
      </c>
      <c r="E70" s="10">
        <v>71342</v>
      </c>
      <c r="F70" s="10">
        <v>76702</v>
      </c>
      <c r="G70" s="11">
        <f t="shared" si="2"/>
        <v>0.93011916247294724</v>
      </c>
      <c r="K70" t="s">
        <v>78</v>
      </c>
      <c r="L70" t="e">
        <v>#N/A</v>
      </c>
    </row>
    <row r="71" spans="1:12" x14ac:dyDescent="0.25">
      <c r="A71" s="8">
        <v>1980</v>
      </c>
      <c r="B71" s="8" t="s">
        <v>29</v>
      </c>
      <c r="C71" s="9">
        <v>257908</v>
      </c>
      <c r="D71" s="9">
        <v>5000</v>
      </c>
      <c r="E71" s="10">
        <v>95122</v>
      </c>
      <c r="F71" s="10">
        <v>93757</v>
      </c>
      <c r="G71" s="11">
        <f t="shared" si="2"/>
        <v>1.014558912934501</v>
      </c>
      <c r="K71" t="s">
        <v>88</v>
      </c>
      <c r="L71" t="e">
        <v>#N/A</v>
      </c>
    </row>
    <row r="72" spans="1:12" x14ac:dyDescent="0.25">
      <c r="A72" s="8">
        <v>1985</v>
      </c>
      <c r="B72" s="8" t="s">
        <v>29</v>
      </c>
      <c r="C72" s="9">
        <v>300843</v>
      </c>
      <c r="D72" s="9">
        <v>5000</v>
      </c>
      <c r="E72" s="10">
        <v>120579</v>
      </c>
      <c r="F72" s="10">
        <v>119626</v>
      </c>
      <c r="G72" s="11">
        <f t="shared" si="2"/>
        <v>1.0079664955778844</v>
      </c>
      <c r="K72" t="s">
        <v>79</v>
      </c>
      <c r="L72" t="e">
        <v>#N/A</v>
      </c>
    </row>
    <row r="73" spans="1:12" x14ac:dyDescent="0.25">
      <c r="A73" s="8">
        <v>1990</v>
      </c>
      <c r="B73" s="8" t="s">
        <v>29</v>
      </c>
      <c r="C73" s="9">
        <v>330115</v>
      </c>
      <c r="D73" s="9">
        <v>5000</v>
      </c>
      <c r="E73" s="10">
        <v>135659</v>
      </c>
      <c r="F73" s="10">
        <v>142947</v>
      </c>
      <c r="G73" s="11">
        <f t="shared" si="2"/>
        <v>0.94901606889266654</v>
      </c>
      <c r="K73" t="s">
        <v>80</v>
      </c>
      <c r="L73" t="e">
        <v>#N/A</v>
      </c>
    </row>
    <row r="74" spans="1:12" x14ac:dyDescent="0.25">
      <c r="A74" s="8">
        <v>2000</v>
      </c>
      <c r="B74" s="8" t="s">
        <v>29</v>
      </c>
      <c r="C74" s="9">
        <v>388678</v>
      </c>
      <c r="D74" s="9">
        <v>10000</v>
      </c>
      <c r="E74" s="10">
        <v>215220</v>
      </c>
      <c r="F74" s="10">
        <v>219511</v>
      </c>
      <c r="G74" s="11">
        <f t="shared" si="2"/>
        <v>0.98045200468313665</v>
      </c>
      <c r="K74" t="s">
        <v>81</v>
      </c>
      <c r="L74" t="e">
        <v>#N/A</v>
      </c>
    </row>
    <row r="75" spans="1:12" x14ac:dyDescent="0.25">
      <c r="A75" s="2">
        <v>1975</v>
      </c>
      <c r="B75" s="2" t="s">
        <v>30</v>
      </c>
      <c r="C75" s="3">
        <v>428704</v>
      </c>
      <c r="D75" s="3">
        <v>5000</v>
      </c>
      <c r="E75" s="4">
        <v>87550</v>
      </c>
      <c r="F75" s="4">
        <v>96780</v>
      </c>
      <c r="G75" s="5">
        <f t="shared" si="2"/>
        <v>0.90462905558999795</v>
      </c>
      <c r="K75" t="s">
        <v>82</v>
      </c>
      <c r="L75" t="e">
        <v>#N/A</v>
      </c>
    </row>
    <row r="76" spans="1:12" x14ac:dyDescent="0.25">
      <c r="A76" s="2">
        <v>1980</v>
      </c>
      <c r="B76" s="2" t="s">
        <v>30</v>
      </c>
      <c r="C76" s="3">
        <v>471751</v>
      </c>
      <c r="D76" s="3">
        <v>5000</v>
      </c>
      <c r="E76" s="4">
        <v>95665</v>
      </c>
      <c r="F76" s="4">
        <v>113569</v>
      </c>
      <c r="G76" s="5">
        <f t="shared" si="2"/>
        <v>0.84235134587783633</v>
      </c>
      <c r="K76" t="s">
        <v>83</v>
      </c>
      <c r="L76" t="e">
        <v>#N/A</v>
      </c>
    </row>
    <row r="77" spans="1:12" x14ac:dyDescent="0.25">
      <c r="A77" s="2">
        <v>1985</v>
      </c>
      <c r="B77" s="2" t="s">
        <v>30</v>
      </c>
      <c r="C77" s="3">
        <v>504778</v>
      </c>
      <c r="D77" s="3">
        <v>5000</v>
      </c>
      <c r="E77" s="4">
        <v>131433</v>
      </c>
      <c r="F77" s="4">
        <v>143787</v>
      </c>
      <c r="G77" s="5">
        <f t="shared" si="2"/>
        <v>0.91408124517515488</v>
      </c>
      <c r="K77" t="s">
        <v>84</v>
      </c>
      <c r="L77" t="e">
        <v>#N/A</v>
      </c>
    </row>
    <row r="78" spans="1:12" x14ac:dyDescent="0.25">
      <c r="A78" s="2">
        <v>1990</v>
      </c>
      <c r="B78" s="2" t="s">
        <v>30</v>
      </c>
      <c r="C78" s="3">
        <v>536869</v>
      </c>
      <c r="D78" s="3">
        <v>5000</v>
      </c>
      <c r="E78" s="4">
        <v>181719</v>
      </c>
      <c r="F78" s="4">
        <v>203122</v>
      </c>
      <c r="G78" s="5">
        <f t="shared" si="2"/>
        <v>0.89462982837900373</v>
      </c>
      <c r="K78" t="s">
        <v>85</v>
      </c>
      <c r="L78" t="e">
        <v>#N/A</v>
      </c>
    </row>
    <row r="79" spans="1:12" x14ac:dyDescent="0.25">
      <c r="A79" s="2">
        <v>2000</v>
      </c>
      <c r="B79" s="2" t="s">
        <v>30</v>
      </c>
      <c r="C79" s="3">
        <v>270654</v>
      </c>
      <c r="D79" s="3">
        <v>2000</v>
      </c>
      <c r="E79" s="4">
        <v>153389</v>
      </c>
      <c r="F79" s="4">
        <v>142685</v>
      </c>
      <c r="G79" s="5">
        <f t="shared" si="2"/>
        <v>1.075018397168588</v>
      </c>
      <c r="K79" t="s">
        <v>86</v>
      </c>
      <c r="L79" t="e">
        <v>#N/A</v>
      </c>
    </row>
    <row r="80" spans="1:12" x14ac:dyDescent="0.25">
      <c r="A80" s="8">
        <v>1975</v>
      </c>
      <c r="B80" s="8" t="s">
        <v>31</v>
      </c>
      <c r="C80" s="9">
        <v>222896</v>
      </c>
      <c r="D80" s="9">
        <v>5000</v>
      </c>
      <c r="E80" s="10">
        <v>64722</v>
      </c>
      <c r="F80" s="10">
        <v>71071</v>
      </c>
      <c r="G80" s="11">
        <f t="shared" si="2"/>
        <v>0.91066679799074168</v>
      </c>
    </row>
    <row r="81" spans="1:7" x14ac:dyDescent="0.25">
      <c r="A81" s="8">
        <v>1980</v>
      </c>
      <c r="B81" s="8" t="s">
        <v>31</v>
      </c>
      <c r="C81" s="9">
        <v>235009</v>
      </c>
      <c r="D81" s="9">
        <v>5000</v>
      </c>
      <c r="E81" s="10">
        <v>76883</v>
      </c>
      <c r="F81" s="10">
        <v>84983</v>
      </c>
      <c r="G81" s="11">
        <f t="shared" si="2"/>
        <v>0.90468681971688458</v>
      </c>
    </row>
    <row r="82" spans="1:7" x14ac:dyDescent="0.25">
      <c r="A82" s="8">
        <v>1985</v>
      </c>
      <c r="B82" s="8" t="s">
        <v>31</v>
      </c>
      <c r="C82" s="9">
        <v>248002</v>
      </c>
      <c r="D82" s="9">
        <v>5000</v>
      </c>
      <c r="E82" s="10">
        <v>100519</v>
      </c>
      <c r="F82" s="10">
        <v>98907</v>
      </c>
      <c r="G82" s="11">
        <f t="shared" si="2"/>
        <v>1.0162981386555046</v>
      </c>
    </row>
    <row r="83" spans="1:7" x14ac:dyDescent="0.25">
      <c r="A83" s="8">
        <v>1990</v>
      </c>
      <c r="B83" s="8" t="s">
        <v>31</v>
      </c>
      <c r="C83" s="9">
        <v>254899</v>
      </c>
      <c r="D83" s="9">
        <v>5000</v>
      </c>
      <c r="E83" s="10">
        <v>115885</v>
      </c>
      <c r="F83" s="10">
        <v>129112</v>
      </c>
      <c r="G83" s="11">
        <f t="shared" si="2"/>
        <v>0.89755406158993745</v>
      </c>
    </row>
    <row r="84" spans="1:7" x14ac:dyDescent="0.25">
      <c r="A84" s="8">
        <v>2000</v>
      </c>
      <c r="B84" s="8" t="s">
        <v>31</v>
      </c>
      <c r="C84" s="9">
        <v>256803</v>
      </c>
      <c r="D84" s="9">
        <v>2000</v>
      </c>
      <c r="E84" s="10">
        <v>161989</v>
      </c>
      <c r="F84" s="10">
        <v>139897</v>
      </c>
      <c r="G84" s="11">
        <f t="shared" si="2"/>
        <v>1.1579161811904473</v>
      </c>
    </row>
    <row r="85" spans="1:7" x14ac:dyDescent="0.25">
      <c r="A85" s="2">
        <v>1970</v>
      </c>
      <c r="B85" s="2" t="s">
        <v>32</v>
      </c>
      <c r="C85" s="3">
        <v>847884</v>
      </c>
      <c r="D85" s="3">
        <v>2000</v>
      </c>
      <c r="E85" s="4">
        <v>394937</v>
      </c>
      <c r="F85" s="4">
        <v>416662</v>
      </c>
      <c r="G85" s="5">
        <f t="shared" si="2"/>
        <v>0.94785941602545953</v>
      </c>
    </row>
    <row r="86" spans="1:7" x14ac:dyDescent="0.25">
      <c r="A86" s="2">
        <v>1975</v>
      </c>
      <c r="B86" s="2" t="s">
        <v>32</v>
      </c>
      <c r="C86" s="3">
        <v>961639</v>
      </c>
      <c r="D86" s="3">
        <v>5000</v>
      </c>
      <c r="E86" s="4">
        <v>520510</v>
      </c>
      <c r="F86" s="4">
        <v>507106</v>
      </c>
      <c r="G86" s="5">
        <f t="shared" si="2"/>
        <v>1.0264323435336991</v>
      </c>
    </row>
    <row r="87" spans="1:7" x14ac:dyDescent="0.25">
      <c r="A87" s="2">
        <v>1980</v>
      </c>
      <c r="B87" s="2" t="s">
        <v>32</v>
      </c>
      <c r="C87" s="3">
        <v>1148492</v>
      </c>
      <c r="D87" s="3">
        <v>10000</v>
      </c>
      <c r="E87" s="4">
        <v>653048</v>
      </c>
      <c r="F87" s="4">
        <v>636910</v>
      </c>
      <c r="G87" s="5">
        <f t="shared" si="2"/>
        <v>1.0253379598373396</v>
      </c>
    </row>
    <row r="88" spans="1:7" x14ac:dyDescent="0.25">
      <c r="A88" s="2">
        <v>1985</v>
      </c>
      <c r="B88" s="2" t="s">
        <v>32</v>
      </c>
      <c r="C88" s="3">
        <v>1324015</v>
      </c>
      <c r="D88" s="3">
        <v>10000</v>
      </c>
      <c r="E88" s="4">
        <v>854038</v>
      </c>
      <c r="F88" s="4">
        <v>840094</v>
      </c>
      <c r="G88" s="5">
        <f t="shared" si="2"/>
        <v>1.0165981425888055</v>
      </c>
    </row>
    <row r="89" spans="1:7" x14ac:dyDescent="0.25">
      <c r="A89" s="2">
        <v>1990</v>
      </c>
      <c r="B89" s="2" t="s">
        <v>32</v>
      </c>
      <c r="C89" s="3">
        <v>1603137</v>
      </c>
      <c r="D89" s="3">
        <v>5000</v>
      </c>
      <c r="E89" s="4">
        <v>1169321</v>
      </c>
      <c r="F89" s="4">
        <v>1157805</v>
      </c>
      <c r="G89" s="5">
        <f t="shared" si="2"/>
        <v>1.0099464072101951</v>
      </c>
    </row>
    <row r="90" spans="1:7" x14ac:dyDescent="0.25">
      <c r="A90" s="2">
        <v>2000</v>
      </c>
      <c r="B90" s="2" t="s">
        <v>32</v>
      </c>
      <c r="C90" s="3">
        <v>2125140</v>
      </c>
      <c r="D90" s="3">
        <v>10000</v>
      </c>
      <c r="E90" s="4">
        <v>1674774</v>
      </c>
      <c r="F90" s="4">
        <v>1630940</v>
      </c>
      <c r="G90" s="5">
        <f t="shared" si="2"/>
        <v>1.0268765251940599</v>
      </c>
    </row>
    <row r="91" spans="1:7" x14ac:dyDescent="0.25">
      <c r="A91" s="8">
        <v>1975</v>
      </c>
      <c r="B91" s="8" t="s">
        <v>33</v>
      </c>
      <c r="C91" s="9">
        <v>369385</v>
      </c>
      <c r="D91" s="9">
        <v>5000</v>
      </c>
      <c r="E91" s="10">
        <v>86983</v>
      </c>
      <c r="F91" s="10">
        <v>107825</v>
      </c>
      <c r="G91" s="11">
        <f t="shared" si="2"/>
        <v>0.80670530952932995</v>
      </c>
    </row>
    <row r="92" spans="1:7" x14ac:dyDescent="0.25">
      <c r="A92" s="8">
        <v>1980</v>
      </c>
      <c r="B92" s="8" t="s">
        <v>33</v>
      </c>
      <c r="C92" s="9">
        <v>391568</v>
      </c>
      <c r="D92" s="9">
        <v>5000</v>
      </c>
      <c r="E92" s="10">
        <v>103407</v>
      </c>
      <c r="F92" s="10">
        <v>126703</v>
      </c>
      <c r="G92" s="11">
        <f t="shared" si="2"/>
        <v>0.81613695019060317</v>
      </c>
    </row>
    <row r="93" spans="1:7" x14ac:dyDescent="0.25">
      <c r="A93" s="8">
        <v>1985</v>
      </c>
      <c r="B93" s="8" t="s">
        <v>33</v>
      </c>
      <c r="C93" s="9">
        <v>417121</v>
      </c>
      <c r="D93" s="9">
        <v>5000</v>
      </c>
      <c r="E93" s="10">
        <v>137599</v>
      </c>
      <c r="F93" s="10">
        <v>148108</v>
      </c>
      <c r="G93" s="11">
        <f t="shared" si="2"/>
        <v>0.92904502120074539</v>
      </c>
    </row>
    <row r="94" spans="1:7" x14ac:dyDescent="0.25">
      <c r="A94" s="8">
        <v>1990</v>
      </c>
      <c r="B94" s="8" t="s">
        <v>33</v>
      </c>
      <c r="C94" s="9">
        <v>432263</v>
      </c>
      <c r="D94" s="9">
        <v>5000</v>
      </c>
      <c r="E94" s="10">
        <v>162571</v>
      </c>
      <c r="F94" s="10">
        <v>168529</v>
      </c>
      <c r="G94" s="11">
        <f t="shared" si="2"/>
        <v>0.964647034041619</v>
      </c>
    </row>
    <row r="95" spans="1:7" x14ac:dyDescent="0.25">
      <c r="A95" s="8">
        <v>2000</v>
      </c>
      <c r="B95" s="8" t="s">
        <v>33</v>
      </c>
      <c r="C95" s="9">
        <v>464975</v>
      </c>
      <c r="D95" s="9">
        <v>5000</v>
      </c>
      <c r="E95" s="10">
        <v>227780</v>
      </c>
      <c r="F95" s="10">
        <v>215571</v>
      </c>
      <c r="G95" s="11">
        <f t="shared" si="2"/>
        <v>1.0566356328077524</v>
      </c>
    </row>
    <row r="96" spans="1:7" x14ac:dyDescent="0.25">
      <c r="A96" s="2">
        <v>1975</v>
      </c>
      <c r="B96" s="2" t="s">
        <v>34</v>
      </c>
      <c r="C96" s="3">
        <v>265468</v>
      </c>
      <c r="D96" s="3"/>
      <c r="E96" s="4">
        <v>95258</v>
      </c>
      <c r="F96" s="4">
        <v>62444</v>
      </c>
      <c r="G96" s="5">
        <f t="shared" si="2"/>
        <v>1.5254948433796682</v>
      </c>
    </row>
    <row r="97" spans="1:7" x14ac:dyDescent="0.25">
      <c r="A97" s="2">
        <v>1980</v>
      </c>
      <c r="B97" s="2" t="s">
        <v>34</v>
      </c>
      <c r="C97" s="3">
        <v>258436</v>
      </c>
      <c r="D97" s="3">
        <v>5000</v>
      </c>
      <c r="E97" s="4">
        <v>57352</v>
      </c>
      <c r="F97" s="4">
        <v>69325</v>
      </c>
      <c r="G97" s="5">
        <f t="shared" si="2"/>
        <v>0.82729174179588894</v>
      </c>
    </row>
    <row r="98" spans="1:7" x14ac:dyDescent="0.25">
      <c r="A98" s="2">
        <v>1985</v>
      </c>
      <c r="B98" s="2" t="s">
        <v>34</v>
      </c>
      <c r="C98" s="3">
        <v>263964</v>
      </c>
      <c r="D98" s="3">
        <v>5000</v>
      </c>
      <c r="E98" s="4">
        <v>74531</v>
      </c>
      <c r="F98" s="4">
        <v>84494</v>
      </c>
      <c r="G98" s="5">
        <f t="shared" ref="G98:G129" si="3">E98/F98</f>
        <v>0.88208630198593985</v>
      </c>
    </row>
    <row r="99" spans="1:7" x14ac:dyDescent="0.25">
      <c r="A99" s="2">
        <v>1990</v>
      </c>
      <c r="B99" s="2" t="s">
        <v>34</v>
      </c>
      <c r="C99" s="3">
        <v>279129</v>
      </c>
      <c r="D99" s="3">
        <v>5000</v>
      </c>
      <c r="E99" s="4">
        <v>93238</v>
      </c>
      <c r="F99" s="4">
        <v>113855</v>
      </c>
      <c r="G99" s="5">
        <f t="shared" si="3"/>
        <v>0.81891880022836061</v>
      </c>
    </row>
    <row r="100" spans="1:7" x14ac:dyDescent="0.25">
      <c r="A100" s="2">
        <v>2000</v>
      </c>
      <c r="B100" s="2" t="s">
        <v>34</v>
      </c>
      <c r="C100" s="3">
        <v>270355</v>
      </c>
      <c r="D100" s="3">
        <v>5000</v>
      </c>
      <c r="E100" s="4">
        <v>135481</v>
      </c>
      <c r="F100" s="4">
        <v>141186</v>
      </c>
      <c r="G100" s="5">
        <f t="shared" si="3"/>
        <v>0.95959231085235075</v>
      </c>
    </row>
    <row r="101" spans="1:7" x14ac:dyDescent="0.25">
      <c r="A101" s="8">
        <v>1975</v>
      </c>
      <c r="B101" s="8" t="s">
        <v>35</v>
      </c>
      <c r="C101" s="9">
        <v>547580</v>
      </c>
      <c r="D101" s="9">
        <v>5000</v>
      </c>
      <c r="E101" s="10">
        <v>143665</v>
      </c>
      <c r="F101" s="10">
        <v>145969</v>
      </c>
      <c r="G101" s="11">
        <f t="shared" si="3"/>
        <v>0.9842158266481239</v>
      </c>
    </row>
    <row r="102" spans="1:7" x14ac:dyDescent="0.25">
      <c r="A102" s="8">
        <v>1980</v>
      </c>
      <c r="B102" s="8" t="s">
        <v>35</v>
      </c>
      <c r="C102" s="9">
        <v>571831</v>
      </c>
      <c r="D102" s="9">
        <v>5000</v>
      </c>
      <c r="E102" s="10">
        <v>164561</v>
      </c>
      <c r="F102" s="10">
        <v>167273</v>
      </c>
      <c r="G102" s="11">
        <f t="shared" si="3"/>
        <v>0.98378698295600608</v>
      </c>
    </row>
    <row r="103" spans="1:7" x14ac:dyDescent="0.25">
      <c r="A103" s="8">
        <v>1985</v>
      </c>
      <c r="B103" s="8" t="s">
        <v>35</v>
      </c>
      <c r="C103" s="9">
        <v>599204</v>
      </c>
      <c r="D103" s="9">
        <v>5000</v>
      </c>
      <c r="E103" s="10">
        <v>203291</v>
      </c>
      <c r="F103" s="10">
        <v>200431</v>
      </c>
      <c r="G103" s="11">
        <f t="shared" si="3"/>
        <v>1.0142692497667527</v>
      </c>
    </row>
    <row r="104" spans="1:7" x14ac:dyDescent="0.25">
      <c r="A104" s="8">
        <v>1990</v>
      </c>
      <c r="B104" s="8" t="s">
        <v>35</v>
      </c>
      <c r="C104" s="9">
        <v>609863</v>
      </c>
      <c r="D104" s="9">
        <v>5000</v>
      </c>
      <c r="E104" s="10">
        <v>242406</v>
      </c>
      <c r="F104" s="10">
        <v>253804</v>
      </c>
      <c r="G104" s="11">
        <f t="shared" si="3"/>
        <v>0.95509133031788307</v>
      </c>
    </row>
    <row r="105" spans="1:7" x14ac:dyDescent="0.25">
      <c r="A105" s="8">
        <v>2000</v>
      </c>
      <c r="B105" s="8" t="s">
        <v>35</v>
      </c>
      <c r="C105" s="9">
        <v>597065</v>
      </c>
      <c r="D105" s="9">
        <v>5000</v>
      </c>
      <c r="E105" s="10">
        <v>296316</v>
      </c>
      <c r="F105" s="10">
        <v>311897</v>
      </c>
      <c r="G105" s="11">
        <f t="shared" si="3"/>
        <v>0.9500444056852102</v>
      </c>
    </row>
    <row r="106" spans="1:7" x14ac:dyDescent="0.25">
      <c r="A106" s="2">
        <v>1975</v>
      </c>
      <c r="B106" s="2" t="s">
        <v>36</v>
      </c>
      <c r="C106" s="3">
        <v>560916</v>
      </c>
      <c r="D106" s="3">
        <v>5000</v>
      </c>
      <c r="E106" s="4">
        <v>194375</v>
      </c>
      <c r="F106" s="4">
        <v>171586</v>
      </c>
      <c r="G106" s="5">
        <f t="shared" si="3"/>
        <v>1.1328138659331182</v>
      </c>
    </row>
    <row r="107" spans="1:7" x14ac:dyDescent="0.25">
      <c r="A107" s="2">
        <v>1980</v>
      </c>
      <c r="B107" s="2" t="s">
        <v>36</v>
      </c>
      <c r="C107" s="3">
        <v>603338</v>
      </c>
      <c r="D107" s="3">
        <v>5000</v>
      </c>
      <c r="E107" s="4">
        <v>227311</v>
      </c>
      <c r="F107" s="4">
        <v>205938</v>
      </c>
      <c r="G107" s="5">
        <f t="shared" si="3"/>
        <v>1.1037836630442173</v>
      </c>
    </row>
    <row r="108" spans="1:7" x14ac:dyDescent="0.25">
      <c r="A108" s="2">
        <v>1985</v>
      </c>
      <c r="B108" s="2" t="s">
        <v>36</v>
      </c>
      <c r="C108" s="3">
        <v>667478</v>
      </c>
      <c r="D108" s="3">
        <v>10000</v>
      </c>
      <c r="E108" s="4">
        <v>228684</v>
      </c>
      <c r="F108" s="4">
        <v>248673</v>
      </c>
      <c r="G108" s="5">
        <f t="shared" si="3"/>
        <v>0.91961732878117042</v>
      </c>
    </row>
    <row r="109" spans="1:7" x14ac:dyDescent="0.25">
      <c r="A109" s="2">
        <v>1990</v>
      </c>
      <c r="B109" s="2" t="s">
        <v>36</v>
      </c>
      <c r="C109" s="3">
        <v>750882</v>
      </c>
      <c r="D109" s="3">
        <v>5000</v>
      </c>
      <c r="E109" s="4">
        <v>356234</v>
      </c>
      <c r="F109" s="4">
        <v>337793</v>
      </c>
      <c r="G109" s="5">
        <f t="shared" si="3"/>
        <v>1.0545926055306061</v>
      </c>
    </row>
    <row r="110" spans="1:7" x14ac:dyDescent="0.25">
      <c r="A110" s="2">
        <v>2000</v>
      </c>
      <c r="B110" s="2" t="s">
        <v>36</v>
      </c>
      <c r="C110" s="3">
        <v>850029</v>
      </c>
      <c r="D110" s="3">
        <v>10000</v>
      </c>
      <c r="E110" s="4">
        <v>396241</v>
      </c>
      <c r="F110" s="4">
        <v>413914</v>
      </c>
      <c r="G110" s="5">
        <f t="shared" si="3"/>
        <v>0.95730272472059408</v>
      </c>
    </row>
    <row r="111" spans="1:7" x14ac:dyDescent="0.25">
      <c r="A111" s="8">
        <v>1980</v>
      </c>
      <c r="B111" s="8" t="s">
        <v>4</v>
      </c>
      <c r="C111" s="9">
        <v>155463</v>
      </c>
      <c r="D111" s="9">
        <v>5000</v>
      </c>
      <c r="E111" s="10">
        <v>32296</v>
      </c>
      <c r="F111" s="10">
        <v>44118</v>
      </c>
      <c r="G111" s="11">
        <f t="shared" si="3"/>
        <v>0.73203681037218371</v>
      </c>
    </row>
    <row r="112" spans="1:7" x14ac:dyDescent="0.25">
      <c r="A112" s="8">
        <v>1985</v>
      </c>
      <c r="B112" s="8" t="s">
        <v>4</v>
      </c>
      <c r="C112" s="9">
        <v>182645</v>
      </c>
      <c r="D112" s="9">
        <v>5000</v>
      </c>
      <c r="E112" s="10">
        <v>52456</v>
      </c>
      <c r="F112" s="10">
        <v>55563</v>
      </c>
      <c r="G112" s="11">
        <f t="shared" si="3"/>
        <v>0.94408149307992728</v>
      </c>
    </row>
    <row r="113" spans="1:7" x14ac:dyDescent="0.25">
      <c r="A113" s="8">
        <v>1990</v>
      </c>
      <c r="B113" s="8" t="s">
        <v>4</v>
      </c>
      <c r="C113" s="9">
        <v>172479</v>
      </c>
      <c r="D113" s="9">
        <v>5000</v>
      </c>
      <c r="E113" s="10">
        <v>71099</v>
      </c>
      <c r="F113" s="10">
        <v>71099</v>
      </c>
      <c r="G113" s="11">
        <f t="shared" si="3"/>
        <v>1</v>
      </c>
    </row>
    <row r="114" spans="1:7" x14ac:dyDescent="0.25">
      <c r="A114" s="8">
        <v>2000</v>
      </c>
      <c r="B114" s="8" t="s">
        <v>4</v>
      </c>
      <c r="C114" s="9">
        <v>236581</v>
      </c>
      <c r="D114" s="9">
        <v>5000</v>
      </c>
      <c r="E114" s="10">
        <v>147757</v>
      </c>
      <c r="F114" s="10">
        <v>139455</v>
      </c>
      <c r="G114" s="11">
        <f t="shared" si="3"/>
        <v>1.059531748592736</v>
      </c>
    </row>
    <row r="115" spans="1:7" x14ac:dyDescent="0.25">
      <c r="A115" s="2">
        <v>1970</v>
      </c>
      <c r="B115" s="2" t="s">
        <v>21</v>
      </c>
      <c r="C115" s="3">
        <v>3019032</v>
      </c>
      <c r="D115" s="3">
        <v>10000</v>
      </c>
      <c r="E115" s="4">
        <v>2350319</v>
      </c>
      <c r="F115" s="4">
        <v>2203337</v>
      </c>
      <c r="G115" s="5">
        <f t="shared" si="3"/>
        <v>1.0667088148567379</v>
      </c>
    </row>
    <row r="116" spans="1:7" x14ac:dyDescent="0.25">
      <c r="A116" s="2">
        <v>1975</v>
      </c>
      <c r="B116" s="2" t="s">
        <v>21</v>
      </c>
      <c r="C116" s="3">
        <v>3904588</v>
      </c>
      <c r="D116" s="3">
        <v>100000</v>
      </c>
      <c r="E116" s="4">
        <v>2507271</v>
      </c>
      <c r="F116" s="4">
        <v>2648006</v>
      </c>
      <c r="G116" s="5">
        <f t="shared" si="3"/>
        <v>0.94685246181466354</v>
      </c>
    </row>
    <row r="117" spans="1:7" x14ac:dyDescent="0.25">
      <c r="A117" s="2">
        <v>1980</v>
      </c>
      <c r="B117" s="2" t="s">
        <v>21</v>
      </c>
      <c r="C117" s="3">
        <v>4741890</v>
      </c>
      <c r="D117" s="3">
        <v>100000</v>
      </c>
      <c r="E117" s="4">
        <v>3008720</v>
      </c>
      <c r="F117" s="4">
        <v>2909455</v>
      </c>
      <c r="G117" s="5">
        <f t="shared" si="3"/>
        <v>1.0341180736598434</v>
      </c>
    </row>
    <row r="118" spans="1:7" x14ac:dyDescent="0.25">
      <c r="A118" s="2">
        <v>1985</v>
      </c>
      <c r="B118" s="2" t="s">
        <v>21</v>
      </c>
      <c r="C118" s="3">
        <v>5842985</v>
      </c>
      <c r="D118" s="3">
        <v>25000</v>
      </c>
      <c r="E118" s="4">
        <v>5515054</v>
      </c>
      <c r="F118" s="4">
        <v>5560908</v>
      </c>
      <c r="G118" s="5">
        <f t="shared" si="3"/>
        <v>0.99175422431013061</v>
      </c>
    </row>
    <row r="119" spans="1:7" x14ac:dyDescent="0.25">
      <c r="A119" s="2">
        <v>1990</v>
      </c>
      <c r="B119" s="2" t="s">
        <v>21</v>
      </c>
      <c r="C119" s="3">
        <v>7309190</v>
      </c>
      <c r="D119" s="3">
        <v>25000</v>
      </c>
      <c r="E119" s="4">
        <v>6845278</v>
      </c>
      <c r="F119" s="4">
        <v>6753929</v>
      </c>
      <c r="G119" s="5">
        <f t="shared" si="3"/>
        <v>1.0135253124514634</v>
      </c>
    </row>
    <row r="120" spans="1:7" x14ac:dyDescent="0.25">
      <c r="A120" s="2">
        <v>2000</v>
      </c>
      <c r="B120" s="2" t="s">
        <v>21</v>
      </c>
      <c r="C120" s="3">
        <v>10018735</v>
      </c>
      <c r="D120" s="3">
        <v>100000</v>
      </c>
      <c r="E120" s="4">
        <v>9054754</v>
      </c>
      <c r="F120" s="4">
        <v>9085599</v>
      </c>
      <c r="G120" s="5">
        <f t="shared" si="3"/>
        <v>0.99660506698567697</v>
      </c>
    </row>
    <row r="121" spans="1:7" x14ac:dyDescent="0.25">
      <c r="A121" s="8">
        <v>1970</v>
      </c>
      <c r="B121" s="8" t="s">
        <v>22</v>
      </c>
      <c r="C121" s="9">
        <v>1427173</v>
      </c>
      <c r="D121" s="9">
        <v>25000</v>
      </c>
      <c r="E121" s="10">
        <v>767439</v>
      </c>
      <c r="F121" s="10">
        <v>753041</v>
      </c>
      <c r="G121" s="11">
        <f t="shared" si="3"/>
        <v>1.019119808881588</v>
      </c>
    </row>
    <row r="122" spans="1:7" x14ac:dyDescent="0.25">
      <c r="A122" s="8">
        <v>1980</v>
      </c>
      <c r="B122" s="8" t="s">
        <v>22</v>
      </c>
      <c r="C122" s="9">
        <v>1976763</v>
      </c>
      <c r="D122" s="9">
        <v>25000</v>
      </c>
      <c r="E122" s="10">
        <v>1249110</v>
      </c>
      <c r="F122" s="10">
        <v>1059183</v>
      </c>
      <c r="G122" s="11">
        <f t="shared" si="3"/>
        <v>1.1793146226855982</v>
      </c>
    </row>
    <row r="123" spans="1:7" x14ac:dyDescent="0.25">
      <c r="A123" s="8">
        <v>1985</v>
      </c>
      <c r="B123" s="8" t="s">
        <v>22</v>
      </c>
      <c r="C123" s="9">
        <v>2317829</v>
      </c>
      <c r="D123" s="9">
        <v>10000</v>
      </c>
      <c r="E123" s="10">
        <v>1765372</v>
      </c>
      <c r="F123" s="10">
        <v>1800797</v>
      </c>
      <c r="G123" s="11">
        <f t="shared" si="3"/>
        <v>0.98032815470039103</v>
      </c>
    </row>
    <row r="124" spans="1:7" x14ac:dyDescent="0.25">
      <c r="A124" s="8">
        <v>1990</v>
      </c>
      <c r="B124" s="8" t="s">
        <v>22</v>
      </c>
      <c r="C124" s="9">
        <v>2694770</v>
      </c>
      <c r="D124" s="9">
        <v>10000</v>
      </c>
      <c r="E124" s="10">
        <v>2110931</v>
      </c>
      <c r="F124" s="10">
        <v>2134816</v>
      </c>
      <c r="G124" s="11">
        <f t="shared" si="3"/>
        <v>0.98881168213091897</v>
      </c>
    </row>
    <row r="125" spans="1:7" x14ac:dyDescent="0.25">
      <c r="A125" s="8">
        <v>2000</v>
      </c>
      <c r="B125" s="8" t="s">
        <v>22</v>
      </c>
      <c r="C125" s="9">
        <v>3370866</v>
      </c>
      <c r="D125" s="9">
        <v>10000</v>
      </c>
      <c r="E125" s="10">
        <v>2793516</v>
      </c>
      <c r="F125" s="10">
        <v>2732669</v>
      </c>
      <c r="G125" s="11">
        <f t="shared" si="3"/>
        <v>1.0222665094089332</v>
      </c>
    </row>
    <row r="126" spans="1:7" x14ac:dyDescent="0.25">
      <c r="A126" s="2">
        <v>1975</v>
      </c>
      <c r="B126" s="2" t="s">
        <v>3</v>
      </c>
      <c r="C126" s="3">
        <v>232853</v>
      </c>
      <c r="D126" s="3">
        <v>5000</v>
      </c>
      <c r="E126" s="4">
        <v>67329</v>
      </c>
      <c r="F126" s="4">
        <v>70532</v>
      </c>
      <c r="G126" s="5">
        <f t="shared" si="3"/>
        <v>0.95458798843078319</v>
      </c>
    </row>
    <row r="127" spans="1:7" x14ac:dyDescent="0.25">
      <c r="A127" s="2">
        <v>1980</v>
      </c>
      <c r="B127" s="2" t="s">
        <v>3</v>
      </c>
      <c r="C127" s="3">
        <v>240497</v>
      </c>
      <c r="D127" s="3">
        <v>5000</v>
      </c>
      <c r="E127" s="4">
        <v>79114</v>
      </c>
      <c r="F127" s="4">
        <v>83965</v>
      </c>
      <c r="G127" s="5">
        <f t="shared" si="3"/>
        <v>0.94222592746977907</v>
      </c>
    </row>
    <row r="128" spans="1:7" x14ac:dyDescent="0.25">
      <c r="A128" s="2">
        <v>1985</v>
      </c>
      <c r="B128" s="2" t="s">
        <v>3</v>
      </c>
      <c r="C128" s="3">
        <v>260156</v>
      </c>
      <c r="D128" s="3">
        <v>5000</v>
      </c>
      <c r="E128" s="4">
        <v>103483</v>
      </c>
      <c r="F128" s="4">
        <v>103483</v>
      </c>
      <c r="G128" s="5">
        <f t="shared" si="3"/>
        <v>1</v>
      </c>
    </row>
    <row r="129" spans="1:7" x14ac:dyDescent="0.25">
      <c r="A129" s="2">
        <v>1990</v>
      </c>
      <c r="B129" s="2" t="s">
        <v>3</v>
      </c>
      <c r="C129" s="3">
        <v>256862</v>
      </c>
      <c r="D129" s="3">
        <v>5000</v>
      </c>
      <c r="E129" s="4">
        <v>117163</v>
      </c>
      <c r="F129" s="4">
        <v>126406</v>
      </c>
      <c r="G129" s="5">
        <f t="shared" si="3"/>
        <v>0.92687847095865705</v>
      </c>
    </row>
    <row r="130" spans="1:7" x14ac:dyDescent="0.25">
      <c r="A130" s="2">
        <v>2000</v>
      </c>
      <c r="B130" s="2" t="s">
        <v>3</v>
      </c>
      <c r="C130" s="3">
        <v>253239</v>
      </c>
      <c r="D130" s="3">
        <v>5000</v>
      </c>
      <c r="E130" s="4">
        <v>142448</v>
      </c>
      <c r="F130" s="4">
        <v>147412</v>
      </c>
      <c r="G130" s="5">
        <f t="shared" ref="G130:G134" si="4">E130/F130</f>
        <v>0.96632567226548716</v>
      </c>
    </row>
    <row r="131" spans="1:7" x14ac:dyDescent="0.25">
      <c r="A131" s="8">
        <v>1975</v>
      </c>
      <c r="B131" s="8" t="s">
        <v>37</v>
      </c>
      <c r="C131" s="9">
        <v>744113</v>
      </c>
      <c r="D131" s="9">
        <v>10000</v>
      </c>
      <c r="E131" s="10">
        <v>342492</v>
      </c>
      <c r="F131" s="10">
        <v>311307</v>
      </c>
      <c r="G131" s="11">
        <f t="shared" si="4"/>
        <v>1.1001744258882711</v>
      </c>
    </row>
    <row r="132" spans="1:7" x14ac:dyDescent="0.25">
      <c r="A132" s="8">
        <v>1980</v>
      </c>
      <c r="B132" s="8" t="s">
        <v>37</v>
      </c>
      <c r="C132" s="9">
        <v>856271</v>
      </c>
      <c r="D132" s="9">
        <v>25000</v>
      </c>
      <c r="E132" s="10">
        <v>354321</v>
      </c>
      <c r="F132" s="10">
        <v>366550</v>
      </c>
      <c r="G132" s="11">
        <f t="shared" si="4"/>
        <v>0.96663756649843136</v>
      </c>
    </row>
    <row r="133" spans="1:7" x14ac:dyDescent="0.25">
      <c r="A133" s="8">
        <v>1985</v>
      </c>
      <c r="B133" s="8" t="s">
        <v>37</v>
      </c>
      <c r="C133" s="9">
        <v>1002252</v>
      </c>
      <c r="D133" s="9">
        <v>20000</v>
      </c>
      <c r="E133" s="10">
        <v>437741</v>
      </c>
      <c r="F133" s="10">
        <v>428845</v>
      </c>
      <c r="G133" s="11">
        <f t="shared" si="4"/>
        <v>1.0207440916881392</v>
      </c>
    </row>
    <row r="134" spans="1:7" x14ac:dyDescent="0.25">
      <c r="A134" s="8">
        <v>1990</v>
      </c>
      <c r="B134" s="8" t="s">
        <v>37</v>
      </c>
      <c r="C134" s="9">
        <v>1109754</v>
      </c>
      <c r="D134" s="9">
        <v>20000</v>
      </c>
      <c r="E134" s="10">
        <v>519177</v>
      </c>
      <c r="F134" s="10">
        <v>531707</v>
      </c>
      <c r="G134" s="11">
        <f t="shared" si="4"/>
        <v>0.97643438961683782</v>
      </c>
    </row>
    <row r="135" spans="1:7" x14ac:dyDescent="0.25">
      <c r="A135" s="8">
        <v>2000</v>
      </c>
      <c r="B135" s="8" t="s">
        <v>37</v>
      </c>
      <c r="C135" s="9">
        <v>1253726</v>
      </c>
      <c r="D135" s="9">
        <v>20000</v>
      </c>
      <c r="E135" s="10">
        <v>585954</v>
      </c>
      <c r="F135" s="10">
        <v>581341</v>
      </c>
      <c r="G135" s="11">
        <f t="shared" ref="G135:G139" si="5">E135/F135</f>
        <v>1.0079351017733138</v>
      </c>
    </row>
    <row r="136" spans="1:7" x14ac:dyDescent="0.25">
      <c r="A136" s="2">
        <v>1975</v>
      </c>
      <c r="B136" s="2" t="s">
        <v>38</v>
      </c>
      <c r="C136" s="3">
        <v>477736</v>
      </c>
      <c r="D136" s="3">
        <v>20000</v>
      </c>
      <c r="E136" s="4">
        <v>231872</v>
      </c>
      <c r="F136" s="4">
        <v>255557</v>
      </c>
      <c r="G136" s="5">
        <f t="shared" si="5"/>
        <v>0.90732008906036621</v>
      </c>
    </row>
    <row r="137" spans="1:7" x14ac:dyDescent="0.25">
      <c r="A137" s="2">
        <v>1980</v>
      </c>
      <c r="B137" s="2" t="s">
        <v>38</v>
      </c>
      <c r="C137" s="3">
        <v>596899</v>
      </c>
      <c r="D137" s="3">
        <v>20000</v>
      </c>
      <c r="E137" s="4">
        <v>330098</v>
      </c>
      <c r="F137" s="4">
        <v>318026</v>
      </c>
      <c r="G137" s="5">
        <f t="shared" si="5"/>
        <v>1.0379591605717771</v>
      </c>
    </row>
    <row r="138" spans="1:7" x14ac:dyDescent="0.25">
      <c r="A138" s="2">
        <v>1985</v>
      </c>
      <c r="B138" s="2" t="s">
        <v>38</v>
      </c>
      <c r="C138" s="3">
        <v>742245</v>
      </c>
      <c r="D138" s="3">
        <v>25000</v>
      </c>
      <c r="E138" s="4">
        <v>463988</v>
      </c>
      <c r="F138" s="4">
        <v>411917</v>
      </c>
      <c r="G138" s="5">
        <f t="shared" si="5"/>
        <v>1.126411388702093</v>
      </c>
    </row>
    <row r="139" spans="1:7" x14ac:dyDescent="0.25">
      <c r="A139" s="2">
        <v>1990</v>
      </c>
      <c r="B139" s="2" t="s">
        <v>38</v>
      </c>
      <c r="C139" s="3">
        <v>936163</v>
      </c>
      <c r="D139" s="3">
        <v>25000</v>
      </c>
      <c r="E139" s="4">
        <v>625692</v>
      </c>
      <c r="F139" s="4">
        <v>582559</v>
      </c>
      <c r="G139" s="5">
        <f t="shared" si="5"/>
        <v>1.0740405692813946</v>
      </c>
    </row>
    <row r="140" spans="1:7" x14ac:dyDescent="0.25">
      <c r="A140" s="2">
        <v>2000</v>
      </c>
      <c r="B140" s="2" t="s">
        <v>38</v>
      </c>
      <c r="C140" s="3">
        <v>1206085</v>
      </c>
      <c r="D140" s="3">
        <v>25000</v>
      </c>
      <c r="E140" s="4">
        <v>824891</v>
      </c>
      <c r="F140" s="4">
        <v>722905</v>
      </c>
      <c r="G140" s="5">
        <f t="shared" ref="G140:G144" si="6">E140/F140</f>
        <v>1.1410780116336172</v>
      </c>
    </row>
    <row r="141" spans="1:7" x14ac:dyDescent="0.25">
      <c r="A141" s="2">
        <v>1975</v>
      </c>
      <c r="B141" s="2" t="s">
        <v>39</v>
      </c>
      <c r="C141" s="3">
        <v>714817</v>
      </c>
      <c r="D141" s="3">
        <v>10000</v>
      </c>
      <c r="E141" s="4">
        <v>326556</v>
      </c>
      <c r="F141" s="4">
        <v>332900</v>
      </c>
      <c r="G141" s="5">
        <f t="shared" si="6"/>
        <v>0.98094322619405228</v>
      </c>
    </row>
    <row r="142" spans="1:7" x14ac:dyDescent="0.25">
      <c r="A142" s="2">
        <v>1980</v>
      </c>
      <c r="B142" s="2" t="s">
        <v>39</v>
      </c>
      <c r="C142" s="3">
        <v>843931</v>
      </c>
      <c r="D142" s="3">
        <v>10000</v>
      </c>
      <c r="E142" s="4">
        <v>427830</v>
      </c>
      <c r="F142" s="4">
        <v>424544</v>
      </c>
      <c r="G142" s="5">
        <f t="shared" si="6"/>
        <v>1.0077400693449914</v>
      </c>
    </row>
    <row r="143" spans="1:7" x14ac:dyDescent="0.25">
      <c r="A143" s="2">
        <v>1985</v>
      </c>
      <c r="B143" s="2" t="s">
        <v>39</v>
      </c>
      <c r="C143" s="3">
        <v>1034085</v>
      </c>
      <c r="D143" s="3">
        <v>10000</v>
      </c>
      <c r="E143" s="4">
        <v>585376</v>
      </c>
      <c r="F143" s="4">
        <v>566419</v>
      </c>
      <c r="G143" s="5">
        <f t="shared" si="6"/>
        <v>1.0334681569650737</v>
      </c>
    </row>
    <row r="144" spans="1:7" x14ac:dyDescent="0.25">
      <c r="A144" s="2">
        <v>1990</v>
      </c>
      <c r="B144" s="2" t="s">
        <v>39</v>
      </c>
      <c r="C144" s="3">
        <v>1266995</v>
      </c>
      <c r="D144" s="3">
        <v>10000</v>
      </c>
      <c r="E144" s="4">
        <v>799013</v>
      </c>
      <c r="F144" s="4">
        <v>787284</v>
      </c>
      <c r="G144" s="5">
        <f t="shared" si="6"/>
        <v>1.0148980545775095</v>
      </c>
    </row>
    <row r="145" spans="1:7" x14ac:dyDescent="0.25">
      <c r="A145" s="2">
        <v>2000</v>
      </c>
      <c r="B145" s="2" t="s">
        <v>39</v>
      </c>
      <c r="C145" s="3">
        <v>1651400</v>
      </c>
      <c r="D145" s="3">
        <v>20000</v>
      </c>
      <c r="E145" s="4">
        <v>1045954</v>
      </c>
      <c r="F145" s="4">
        <v>999220</v>
      </c>
      <c r="G145" s="5">
        <f t="shared" ref="G145:G149" si="7">E145/F145</f>
        <v>1.0467704809751606</v>
      </c>
    </row>
    <row r="146" spans="1:7" x14ac:dyDescent="0.25">
      <c r="A146" s="2">
        <v>1975</v>
      </c>
      <c r="B146" s="2" t="s">
        <v>40</v>
      </c>
      <c r="C146" s="3">
        <v>836156</v>
      </c>
      <c r="D146" s="3">
        <v>25000</v>
      </c>
      <c r="E146" s="4">
        <v>259366</v>
      </c>
      <c r="F146" s="4">
        <v>263365</v>
      </c>
      <c r="G146" s="5">
        <f t="shared" si="7"/>
        <v>0.9848157500047463</v>
      </c>
    </row>
    <row r="147" spans="1:7" x14ac:dyDescent="0.25">
      <c r="A147" s="2">
        <v>1980</v>
      </c>
      <c r="B147" s="2" t="s">
        <v>40</v>
      </c>
      <c r="C147" s="3">
        <v>954512</v>
      </c>
      <c r="D147" s="3">
        <v>25000</v>
      </c>
      <c r="E147" s="4">
        <v>309760</v>
      </c>
      <c r="F147" s="4">
        <v>312843</v>
      </c>
      <c r="G147" s="5">
        <f t="shared" si="7"/>
        <v>0.99014521661024857</v>
      </c>
    </row>
    <row r="148" spans="1:7" x14ac:dyDescent="0.25">
      <c r="A148" s="2">
        <v>1985</v>
      </c>
      <c r="B148" s="2" t="s">
        <v>40</v>
      </c>
      <c r="C148" s="3">
        <v>1044945</v>
      </c>
      <c r="D148" s="3">
        <v>25000</v>
      </c>
      <c r="E148" s="4">
        <v>363090</v>
      </c>
      <c r="F148" s="4">
        <v>350832</v>
      </c>
      <c r="G148" s="5">
        <f t="shared" si="7"/>
        <v>1.0349398002462717</v>
      </c>
    </row>
    <row r="149" spans="1:7" x14ac:dyDescent="0.25">
      <c r="A149" s="2">
        <v>1990</v>
      </c>
      <c r="B149" s="2" t="s">
        <v>40</v>
      </c>
      <c r="C149" s="3">
        <v>1073560</v>
      </c>
      <c r="D149" s="3">
        <v>20000</v>
      </c>
      <c r="E149" s="4">
        <v>412000</v>
      </c>
      <c r="F149" s="4">
        <v>411617</v>
      </c>
      <c r="G149" s="5">
        <f t="shared" si="7"/>
        <v>1.0009304766324034</v>
      </c>
    </row>
    <row r="150" spans="1:7" x14ac:dyDescent="0.25">
      <c r="A150" s="2">
        <v>2000</v>
      </c>
      <c r="B150" s="2" t="s">
        <v>40</v>
      </c>
      <c r="C150" s="3">
        <v>615599</v>
      </c>
      <c r="D150" s="3">
        <v>20000</v>
      </c>
      <c r="E150" s="4">
        <v>263524</v>
      </c>
      <c r="F150" s="4">
        <v>250282</v>
      </c>
      <c r="G150" s="5">
        <f t="shared" ref="G150" si="8">E150/F150</f>
        <v>1.0529083194156992</v>
      </c>
    </row>
  </sheetData>
  <autoFilter ref="E1:G150" xr:uid="{C1B64045-7948-4081-9BDD-07B1970E7D65}"/>
  <sortState ref="K2:L1824">
    <sortCondition ref="L2:L182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9014-F86A-4536-8B96-23AE6B247761}">
  <sheetPr>
    <pageSetUpPr fitToPage="1"/>
  </sheetPr>
  <dimension ref="A1:R364"/>
  <sheetViews>
    <sheetView tabSelected="1" zoomScaleNormal="100" workbookViewId="0">
      <pane ySplit="2" topLeftCell="A3" activePane="bottomLeft" state="frozen"/>
      <selection pane="bottomLeft" activeCell="I10" sqref="I10"/>
    </sheetView>
  </sheetViews>
  <sheetFormatPr defaultRowHeight="15" x14ac:dyDescent="0.25"/>
  <cols>
    <col min="1" max="1" width="6.85546875" style="1" customWidth="1"/>
    <col min="2" max="2" width="15.140625" style="1" bestFit="1" customWidth="1"/>
    <col min="3" max="3" width="10.140625" style="1" bestFit="1" customWidth="1"/>
    <col min="4" max="5" width="9.5703125" style="1" customWidth="1"/>
    <col min="6" max="6" width="12.28515625" style="1" bestFit="1" customWidth="1"/>
    <col min="7" max="18" width="9.5703125" style="1" customWidth="1"/>
  </cols>
  <sheetData>
    <row r="1" spans="1:18" ht="45" customHeight="1" x14ac:dyDescent="0.25">
      <c r="A1" s="19" t="s">
        <v>98</v>
      </c>
      <c r="B1" s="19" t="s">
        <v>97</v>
      </c>
      <c r="C1" s="19" t="s">
        <v>96</v>
      </c>
      <c r="D1" s="19"/>
      <c r="E1" s="19"/>
      <c r="F1" s="19" t="s">
        <v>92</v>
      </c>
      <c r="G1" s="19" t="s">
        <v>93</v>
      </c>
      <c r="H1" s="19"/>
      <c r="I1" s="19"/>
      <c r="J1" s="19" t="s">
        <v>94</v>
      </c>
      <c r="K1" s="19"/>
      <c r="L1" s="19"/>
      <c r="M1" s="19" t="s">
        <v>95</v>
      </c>
      <c r="N1" s="19"/>
      <c r="O1" s="19"/>
      <c r="P1" s="20" t="s">
        <v>99</v>
      </c>
      <c r="Q1" s="20"/>
      <c r="R1" s="20"/>
    </row>
    <row r="2" spans="1:18" ht="17.45" customHeight="1" x14ac:dyDescent="0.25">
      <c r="A2" s="19"/>
      <c r="B2" s="19"/>
      <c r="C2" s="12" t="s">
        <v>89</v>
      </c>
      <c r="D2" s="12" t="s">
        <v>90</v>
      </c>
      <c r="E2" s="12" t="s">
        <v>91</v>
      </c>
      <c r="F2" s="19"/>
      <c r="G2" s="12" t="s">
        <v>89</v>
      </c>
      <c r="H2" s="12" t="s">
        <v>90</v>
      </c>
      <c r="I2" s="12" t="s">
        <v>91</v>
      </c>
      <c r="J2" s="12" t="s">
        <v>89</v>
      </c>
      <c r="K2" s="12" t="s">
        <v>90</v>
      </c>
      <c r="L2" s="12" t="s">
        <v>91</v>
      </c>
      <c r="M2" s="12" t="s">
        <v>89</v>
      </c>
      <c r="N2" s="12" t="s">
        <v>90</v>
      </c>
      <c r="O2" s="12" t="s">
        <v>91</v>
      </c>
      <c r="P2" s="15" t="s">
        <v>89</v>
      </c>
      <c r="Q2" s="15" t="s">
        <v>90</v>
      </c>
      <c r="R2" s="15" t="s">
        <v>91</v>
      </c>
    </row>
    <row r="3" spans="1:18" ht="17.45" customHeight="1" x14ac:dyDescent="0.25">
      <c r="A3" s="2">
        <v>1970</v>
      </c>
      <c r="B3" s="2" t="s">
        <v>2</v>
      </c>
      <c r="C3" s="3">
        <v>1035377</v>
      </c>
      <c r="D3" s="3">
        <v>526796</v>
      </c>
      <c r="E3" s="3">
        <v>508581</v>
      </c>
      <c r="F3" s="3">
        <v>10000</v>
      </c>
      <c r="G3" s="3">
        <v>520251</v>
      </c>
      <c r="H3" s="3">
        <v>270703</v>
      </c>
      <c r="I3" s="3">
        <v>249548</v>
      </c>
      <c r="J3" s="3">
        <v>525668</v>
      </c>
      <c r="K3" s="3">
        <v>273548</v>
      </c>
      <c r="L3" s="3">
        <v>252120</v>
      </c>
      <c r="M3" s="13">
        <f t="shared" ref="M3:M66" si="0">G3/J3</f>
        <v>0.98969501662646386</v>
      </c>
      <c r="N3" s="13">
        <f t="shared" ref="N3:N66" si="1">H3/K3</f>
        <v>0.9895996315089125</v>
      </c>
      <c r="O3" s="13">
        <f t="shared" ref="O3:O66" si="2">I3/L3</f>
        <v>0.98979850864667618</v>
      </c>
      <c r="P3" s="3">
        <v>12241</v>
      </c>
      <c r="Q3" s="3">
        <v>6449</v>
      </c>
      <c r="R3" s="3">
        <v>5792</v>
      </c>
    </row>
    <row r="4" spans="1:18" ht="17.45" customHeight="1" x14ac:dyDescent="0.25">
      <c r="A4" s="2">
        <v>1975</v>
      </c>
      <c r="B4" s="2" t="s">
        <v>2</v>
      </c>
      <c r="C4" s="3">
        <v>1240475</v>
      </c>
      <c r="D4" s="3">
        <v>639034</v>
      </c>
      <c r="E4" s="3">
        <v>601441</v>
      </c>
      <c r="F4" s="3">
        <v>10000</v>
      </c>
      <c r="G4" s="3">
        <v>714745</v>
      </c>
      <c r="H4" s="3">
        <v>374087</v>
      </c>
      <c r="I4" s="3">
        <v>340658</v>
      </c>
      <c r="J4" s="3">
        <v>706186</v>
      </c>
      <c r="K4" s="3">
        <v>370247</v>
      </c>
      <c r="L4" s="3">
        <v>335939</v>
      </c>
      <c r="M4" s="13">
        <f t="shared" si="0"/>
        <v>1.0121200363643572</v>
      </c>
      <c r="N4" s="13">
        <f t="shared" si="1"/>
        <v>1.0103714547315712</v>
      </c>
      <c r="O4" s="13">
        <f t="shared" si="2"/>
        <v>1.0140471930916028</v>
      </c>
      <c r="P4" s="3">
        <v>20869</v>
      </c>
      <c r="Q4" s="3">
        <v>10555</v>
      </c>
      <c r="R4" s="3">
        <v>10313</v>
      </c>
    </row>
    <row r="5" spans="1:18" ht="17.45" customHeight="1" x14ac:dyDescent="0.25">
      <c r="A5" s="2">
        <v>1980</v>
      </c>
      <c r="B5" s="2" t="s">
        <v>2</v>
      </c>
      <c r="C5" s="3">
        <v>1485743</v>
      </c>
      <c r="D5" s="3">
        <v>750217</v>
      </c>
      <c r="E5" s="3">
        <v>735526</v>
      </c>
      <c r="F5" s="3">
        <v>10000</v>
      </c>
      <c r="G5" s="3">
        <v>859807</v>
      </c>
      <c r="H5" s="3">
        <v>438304</v>
      </c>
      <c r="I5" s="3">
        <v>421503</v>
      </c>
      <c r="J5" s="3">
        <v>842854</v>
      </c>
      <c r="K5" s="3">
        <v>430255</v>
      </c>
      <c r="L5" s="3">
        <v>412590</v>
      </c>
      <c r="M5" s="13">
        <f t="shared" si="0"/>
        <v>1.0201138038141837</v>
      </c>
      <c r="N5" s="13">
        <f t="shared" si="1"/>
        <v>1.0187075106622816</v>
      </c>
      <c r="O5" s="13">
        <f t="shared" si="2"/>
        <v>1.0216025594415763</v>
      </c>
      <c r="P5" s="3">
        <v>23398</v>
      </c>
      <c r="Q5" s="3">
        <v>11875</v>
      </c>
      <c r="R5" s="3">
        <v>11523</v>
      </c>
    </row>
    <row r="6" spans="1:18" ht="17.45" customHeight="1" x14ac:dyDescent="0.25">
      <c r="A6" s="2">
        <v>1985</v>
      </c>
      <c r="B6" s="2" t="s">
        <v>2</v>
      </c>
      <c r="C6" s="3">
        <v>1725940</v>
      </c>
      <c r="D6" s="3">
        <v>875164</v>
      </c>
      <c r="E6" s="3">
        <v>850776</v>
      </c>
      <c r="F6" s="3">
        <v>10000</v>
      </c>
      <c r="G6" s="3">
        <v>1119357</v>
      </c>
      <c r="H6" s="3">
        <v>573917</v>
      </c>
      <c r="I6" s="3">
        <v>545440</v>
      </c>
      <c r="J6" s="3">
        <v>1142201</v>
      </c>
      <c r="K6" s="3">
        <v>586362</v>
      </c>
      <c r="L6" s="3">
        <v>555839</v>
      </c>
      <c r="M6" s="13">
        <f t="shared" si="0"/>
        <v>0.98000001751005295</v>
      </c>
      <c r="N6" s="13">
        <f t="shared" si="1"/>
        <v>0.97877590976222884</v>
      </c>
      <c r="O6" s="13">
        <f t="shared" si="2"/>
        <v>0.9812913451557016</v>
      </c>
      <c r="P6" s="3">
        <v>26192</v>
      </c>
      <c r="Q6" s="3">
        <v>13327</v>
      </c>
      <c r="R6" s="3">
        <v>12865</v>
      </c>
    </row>
    <row r="7" spans="1:18" ht="17.45" customHeight="1" x14ac:dyDescent="0.25">
      <c r="A7" s="2">
        <v>1990</v>
      </c>
      <c r="B7" s="2" t="s">
        <v>2</v>
      </c>
      <c r="C7" s="3">
        <v>1934907</v>
      </c>
      <c r="D7" s="3">
        <v>973878</v>
      </c>
      <c r="E7" s="3">
        <v>961029</v>
      </c>
      <c r="F7" s="3">
        <v>10000</v>
      </c>
      <c r="G7" s="3">
        <v>1313922</v>
      </c>
      <c r="H7" s="3">
        <v>665267</v>
      </c>
      <c r="I7" s="3">
        <v>648655</v>
      </c>
      <c r="J7" s="3">
        <v>1350339</v>
      </c>
      <c r="K7" s="3">
        <v>684221</v>
      </c>
      <c r="L7" s="3">
        <v>666118</v>
      </c>
      <c r="M7" s="13">
        <f t="shared" si="0"/>
        <v>0.97303121660560787</v>
      </c>
      <c r="N7" s="13">
        <f t="shared" si="1"/>
        <v>0.97229842404720113</v>
      </c>
      <c r="O7" s="13">
        <f t="shared" si="2"/>
        <v>0.97378392416959159</v>
      </c>
      <c r="P7" s="3">
        <v>28768</v>
      </c>
      <c r="Q7" s="3">
        <v>14697</v>
      </c>
      <c r="R7" s="3">
        <v>14071</v>
      </c>
    </row>
    <row r="8" spans="1:18" ht="17.45" customHeight="1" x14ac:dyDescent="0.25">
      <c r="A8" s="2">
        <v>2000</v>
      </c>
      <c r="B8" s="2" t="s">
        <v>2</v>
      </c>
      <c r="C8" s="3">
        <v>1849478</v>
      </c>
      <c r="D8" s="3">
        <v>920001</v>
      </c>
      <c r="E8" s="3">
        <v>929477</v>
      </c>
      <c r="F8" s="3">
        <v>10000</v>
      </c>
      <c r="G8" s="3">
        <v>1392120</v>
      </c>
      <c r="H8" s="3">
        <v>691483</v>
      </c>
      <c r="I8" s="3">
        <v>700637</v>
      </c>
      <c r="J8" s="3">
        <v>1397853</v>
      </c>
      <c r="K8" s="3">
        <v>693586</v>
      </c>
      <c r="L8" s="3">
        <v>704267</v>
      </c>
      <c r="M8" s="13">
        <f t="shared" si="0"/>
        <v>0.99589871037941757</v>
      </c>
      <c r="N8" s="13">
        <f t="shared" si="1"/>
        <v>0.99696793187867117</v>
      </c>
      <c r="O8" s="13">
        <f t="shared" si="2"/>
        <v>0.99484570482501666</v>
      </c>
      <c r="P8" s="3">
        <v>28581</v>
      </c>
      <c r="Q8" s="3">
        <v>14591</v>
      </c>
      <c r="R8" s="3">
        <v>13989</v>
      </c>
    </row>
    <row r="9" spans="1:18" ht="17.45" customHeight="1" x14ac:dyDescent="0.25">
      <c r="A9" s="8">
        <v>1975</v>
      </c>
      <c r="B9" s="8" t="s">
        <v>7</v>
      </c>
      <c r="C9" s="9">
        <v>346892</v>
      </c>
      <c r="D9" s="9">
        <v>178152</v>
      </c>
      <c r="E9" s="9">
        <v>168740</v>
      </c>
      <c r="F9" s="9">
        <v>5000</v>
      </c>
      <c r="G9" s="9">
        <v>95866</v>
      </c>
      <c r="H9" s="9">
        <v>51061</v>
      </c>
      <c r="I9" s="9">
        <v>44805</v>
      </c>
      <c r="J9" s="9">
        <v>100722</v>
      </c>
      <c r="K9" s="9">
        <v>53511</v>
      </c>
      <c r="L9" s="9">
        <v>47211</v>
      </c>
      <c r="M9" s="14">
        <f t="shared" si="0"/>
        <v>0.9517880899902702</v>
      </c>
      <c r="N9" s="14">
        <f t="shared" si="1"/>
        <v>0.95421502121059221</v>
      </c>
      <c r="O9" s="14">
        <f t="shared" si="2"/>
        <v>0.94903730062909064</v>
      </c>
      <c r="P9" s="9">
        <v>2674</v>
      </c>
      <c r="Q9" s="9">
        <v>1434</v>
      </c>
      <c r="R9" s="9">
        <v>1240</v>
      </c>
    </row>
    <row r="10" spans="1:18" ht="17.45" customHeight="1" x14ac:dyDescent="0.25">
      <c r="A10" s="8">
        <v>1980</v>
      </c>
      <c r="B10" s="8" t="s">
        <v>7</v>
      </c>
      <c r="C10" s="9">
        <v>367595</v>
      </c>
      <c r="D10" s="9">
        <v>185049</v>
      </c>
      <c r="E10" s="9">
        <v>182546</v>
      </c>
      <c r="F10" s="9">
        <v>5000</v>
      </c>
      <c r="G10" s="9">
        <v>111068</v>
      </c>
      <c r="H10" s="9">
        <v>57115</v>
      </c>
      <c r="I10" s="9">
        <v>53953</v>
      </c>
      <c r="J10" s="9">
        <v>116986</v>
      </c>
      <c r="K10" s="9">
        <v>60119</v>
      </c>
      <c r="L10" s="9">
        <v>56867</v>
      </c>
      <c r="M10" s="14">
        <f t="shared" si="0"/>
        <v>0.94941275024361893</v>
      </c>
      <c r="N10" s="14">
        <f t="shared" si="1"/>
        <v>0.95003243566925599</v>
      </c>
      <c r="O10" s="14">
        <f t="shared" si="2"/>
        <v>0.94875762744649794</v>
      </c>
      <c r="P10" s="9">
        <v>3579</v>
      </c>
      <c r="Q10" s="9">
        <v>1866</v>
      </c>
      <c r="R10" s="9">
        <v>1713</v>
      </c>
    </row>
    <row r="11" spans="1:18" ht="17.45" customHeight="1" x14ac:dyDescent="0.25">
      <c r="A11" s="8">
        <v>1985</v>
      </c>
      <c r="B11" s="8" t="s">
        <v>7</v>
      </c>
      <c r="C11" s="9">
        <v>430728</v>
      </c>
      <c r="D11" s="9">
        <v>217195</v>
      </c>
      <c r="E11" s="9">
        <v>213533</v>
      </c>
      <c r="F11" s="9">
        <v>5000</v>
      </c>
      <c r="G11" s="9">
        <v>144127</v>
      </c>
      <c r="H11" s="9">
        <v>74981</v>
      </c>
      <c r="I11" s="9">
        <v>69146</v>
      </c>
      <c r="J11" s="9">
        <v>150991</v>
      </c>
      <c r="K11" s="9">
        <v>78337</v>
      </c>
      <c r="L11" s="9">
        <v>72654</v>
      </c>
      <c r="M11" s="14">
        <f t="shared" si="0"/>
        <v>0.95454033684126871</v>
      </c>
      <c r="N11" s="14">
        <f t="shared" si="1"/>
        <v>0.95715945211075226</v>
      </c>
      <c r="O11" s="14">
        <f t="shared" si="2"/>
        <v>0.95171635422688361</v>
      </c>
      <c r="P11" s="9">
        <v>3098</v>
      </c>
      <c r="Q11" s="9">
        <v>1641</v>
      </c>
      <c r="R11" s="9">
        <v>1456</v>
      </c>
    </row>
    <row r="12" spans="1:18" ht="17.45" customHeight="1" x14ac:dyDescent="0.25">
      <c r="A12" s="8">
        <v>1990</v>
      </c>
      <c r="B12" s="8" t="s">
        <v>7</v>
      </c>
      <c r="C12" s="9">
        <v>513131</v>
      </c>
      <c r="D12" s="9">
        <v>256699</v>
      </c>
      <c r="E12" s="9">
        <v>256432</v>
      </c>
      <c r="F12" s="9">
        <v>5000</v>
      </c>
      <c r="G12" s="9">
        <v>210489</v>
      </c>
      <c r="H12" s="9">
        <v>108837</v>
      </c>
      <c r="I12" s="9">
        <v>101652</v>
      </c>
      <c r="J12" s="9">
        <v>219304</v>
      </c>
      <c r="K12" s="9">
        <v>113142</v>
      </c>
      <c r="L12" s="9">
        <v>106162</v>
      </c>
      <c r="M12" s="14">
        <f t="shared" si="0"/>
        <v>0.95980465472585996</v>
      </c>
      <c r="N12" s="14">
        <f t="shared" si="1"/>
        <v>0.96195046932173733</v>
      </c>
      <c r="O12" s="14">
        <f t="shared" si="2"/>
        <v>0.95751775588251919</v>
      </c>
      <c r="P12" s="9">
        <v>5107</v>
      </c>
      <c r="Q12" s="9">
        <v>2633</v>
      </c>
      <c r="R12" s="9">
        <v>2474</v>
      </c>
    </row>
    <row r="13" spans="1:18" ht="17.45" customHeight="1" x14ac:dyDescent="0.25">
      <c r="A13" s="8">
        <v>2000</v>
      </c>
      <c r="B13" s="8" t="s">
        <v>7</v>
      </c>
      <c r="C13" s="9">
        <v>623811</v>
      </c>
      <c r="D13" s="9">
        <v>313362</v>
      </c>
      <c r="E13" s="9">
        <v>310449</v>
      </c>
      <c r="F13" s="9">
        <v>5000</v>
      </c>
      <c r="G13" s="9">
        <v>351328</v>
      </c>
      <c r="H13" s="9">
        <v>179902</v>
      </c>
      <c r="I13" s="9">
        <v>171426</v>
      </c>
      <c r="J13" s="9">
        <v>338939</v>
      </c>
      <c r="K13" s="9">
        <v>173772</v>
      </c>
      <c r="L13" s="9">
        <v>165167</v>
      </c>
      <c r="M13" s="14">
        <f t="shared" si="0"/>
        <v>1.0365522999713812</v>
      </c>
      <c r="N13" s="14">
        <f t="shared" si="1"/>
        <v>1.0352761089243376</v>
      </c>
      <c r="O13" s="14">
        <f t="shared" si="2"/>
        <v>1.0378949790212331</v>
      </c>
      <c r="P13" s="9">
        <v>7197</v>
      </c>
      <c r="Q13" s="9">
        <v>3799</v>
      </c>
      <c r="R13" s="9">
        <v>3398</v>
      </c>
    </row>
    <row r="14" spans="1:18" ht="17.45" customHeight="1" x14ac:dyDescent="0.25">
      <c r="A14" s="2">
        <v>1975</v>
      </c>
      <c r="B14" s="2" t="s">
        <v>8</v>
      </c>
      <c r="C14" s="3">
        <v>579171</v>
      </c>
      <c r="D14" s="3">
        <v>291388</v>
      </c>
      <c r="E14" s="3">
        <v>287783</v>
      </c>
      <c r="F14" s="3">
        <v>5000</v>
      </c>
      <c r="G14" s="3">
        <v>167283</v>
      </c>
      <c r="H14" s="3">
        <v>87427</v>
      </c>
      <c r="I14" s="3">
        <v>79856</v>
      </c>
      <c r="J14" s="3">
        <v>169494</v>
      </c>
      <c r="K14" s="3">
        <v>88783</v>
      </c>
      <c r="L14" s="3">
        <v>80711</v>
      </c>
      <c r="M14" s="13">
        <f t="shared" si="0"/>
        <v>0.98695529045275943</v>
      </c>
      <c r="N14" s="13">
        <f t="shared" si="1"/>
        <v>0.98472680580741812</v>
      </c>
      <c r="O14" s="13">
        <f t="shared" si="2"/>
        <v>0.98940664841223624</v>
      </c>
      <c r="P14" s="3">
        <v>3145</v>
      </c>
      <c r="Q14" s="3">
        <v>1659</v>
      </c>
      <c r="R14" s="3">
        <v>1486</v>
      </c>
    </row>
    <row r="15" spans="1:18" ht="17.45" customHeight="1" x14ac:dyDescent="0.25">
      <c r="A15" s="2">
        <v>1980</v>
      </c>
      <c r="B15" s="2" t="s">
        <v>8</v>
      </c>
      <c r="C15" s="3">
        <v>597516</v>
      </c>
      <c r="D15" s="3">
        <v>306426</v>
      </c>
      <c r="E15" s="3">
        <v>291090</v>
      </c>
      <c r="F15" s="3">
        <v>5000</v>
      </c>
      <c r="G15" s="3">
        <v>198719</v>
      </c>
      <c r="H15" s="3">
        <v>106185</v>
      </c>
      <c r="I15" s="3">
        <v>92534</v>
      </c>
      <c r="J15" s="3">
        <v>191298</v>
      </c>
      <c r="K15" s="3">
        <v>102581</v>
      </c>
      <c r="L15" s="3">
        <v>88717</v>
      </c>
      <c r="M15" s="13">
        <f t="shared" si="0"/>
        <v>1.0387928781273197</v>
      </c>
      <c r="N15" s="13">
        <f t="shared" si="1"/>
        <v>1.0351332118033554</v>
      </c>
      <c r="O15" s="13">
        <f t="shared" si="2"/>
        <v>1.0430244485273397</v>
      </c>
      <c r="P15" s="3">
        <v>4423</v>
      </c>
      <c r="Q15" s="3">
        <v>2332</v>
      </c>
      <c r="R15" s="3">
        <v>2091</v>
      </c>
    </row>
    <row r="16" spans="1:18" ht="17.45" customHeight="1" x14ac:dyDescent="0.25">
      <c r="A16" s="2">
        <v>1985</v>
      </c>
      <c r="B16" s="2" t="s">
        <v>8</v>
      </c>
      <c r="C16" s="3">
        <v>666978</v>
      </c>
      <c r="D16" s="3">
        <v>333328</v>
      </c>
      <c r="E16" s="3">
        <v>333650</v>
      </c>
      <c r="F16" s="3">
        <v>10000</v>
      </c>
      <c r="G16" s="3">
        <v>211032</v>
      </c>
      <c r="H16" s="3">
        <v>109365</v>
      </c>
      <c r="I16" s="3">
        <v>101667</v>
      </c>
      <c r="J16" s="3">
        <v>229790</v>
      </c>
      <c r="K16" s="3">
        <v>119044</v>
      </c>
      <c r="L16" s="3">
        <v>110746</v>
      </c>
      <c r="M16" s="13">
        <f t="shared" si="0"/>
        <v>0.91836894555898863</v>
      </c>
      <c r="N16" s="13">
        <f t="shared" si="1"/>
        <v>0.91869392829542018</v>
      </c>
      <c r="O16" s="13">
        <f t="shared" si="2"/>
        <v>0.91801961244649921</v>
      </c>
      <c r="P16" s="3">
        <v>4145</v>
      </c>
      <c r="Q16" s="3">
        <v>2063</v>
      </c>
      <c r="R16" s="3">
        <v>2083</v>
      </c>
    </row>
    <row r="17" spans="1:18" ht="17.45" customHeight="1" x14ac:dyDescent="0.25">
      <c r="A17" s="2">
        <v>1990</v>
      </c>
      <c r="B17" s="2" t="s">
        <v>8</v>
      </c>
      <c r="C17" s="3">
        <v>739223</v>
      </c>
      <c r="D17" s="3">
        <v>368950</v>
      </c>
      <c r="E17" s="3">
        <v>370273</v>
      </c>
      <c r="F17" s="3">
        <v>5000</v>
      </c>
      <c r="G17" s="3">
        <v>331380</v>
      </c>
      <c r="H17" s="3">
        <v>169363</v>
      </c>
      <c r="I17" s="3">
        <v>162017</v>
      </c>
      <c r="J17" s="3">
        <v>306209</v>
      </c>
      <c r="K17" s="3">
        <v>156784</v>
      </c>
      <c r="L17" s="3">
        <v>149425</v>
      </c>
      <c r="M17" s="13">
        <f t="shared" si="0"/>
        <v>1.0822020254140146</v>
      </c>
      <c r="N17" s="13">
        <f t="shared" si="1"/>
        <v>1.080231401163384</v>
      </c>
      <c r="O17" s="13">
        <f t="shared" si="2"/>
        <v>1.0842697005186548</v>
      </c>
      <c r="P17" s="3">
        <v>5169</v>
      </c>
      <c r="Q17" s="3">
        <v>2627</v>
      </c>
      <c r="R17" s="3">
        <v>2542</v>
      </c>
    </row>
    <row r="18" spans="1:18" ht="17.45" customHeight="1" x14ac:dyDescent="0.25">
      <c r="A18" s="2">
        <v>2000</v>
      </c>
      <c r="B18" s="2" t="s">
        <v>8</v>
      </c>
      <c r="C18" s="3">
        <v>812416</v>
      </c>
      <c r="D18" s="3">
        <v>409311</v>
      </c>
      <c r="E18" s="3">
        <v>403105</v>
      </c>
      <c r="F18" s="3">
        <v>10000</v>
      </c>
      <c r="G18" s="3">
        <v>316959</v>
      </c>
      <c r="H18" s="3">
        <v>161881</v>
      </c>
      <c r="I18" s="3">
        <v>155078</v>
      </c>
      <c r="J18" s="3">
        <v>371868</v>
      </c>
      <c r="K18" s="3">
        <v>189637</v>
      </c>
      <c r="L18" s="3">
        <v>182231</v>
      </c>
      <c r="M18" s="13">
        <f t="shared" si="0"/>
        <v>0.85234276678821519</v>
      </c>
      <c r="N18" s="13">
        <f t="shared" si="1"/>
        <v>0.8536361575009096</v>
      </c>
      <c r="O18" s="13">
        <f t="shared" si="2"/>
        <v>0.8509968117389467</v>
      </c>
      <c r="P18" s="3">
        <v>6399</v>
      </c>
      <c r="Q18" s="3">
        <v>4442</v>
      </c>
      <c r="R18" s="3">
        <v>3128</v>
      </c>
    </row>
    <row r="19" spans="1:18" ht="17.45" customHeight="1" x14ac:dyDescent="0.25">
      <c r="A19" s="8">
        <v>1975</v>
      </c>
      <c r="B19" s="8" t="s">
        <v>9</v>
      </c>
      <c r="C19" s="9">
        <v>330201</v>
      </c>
      <c r="D19" s="9">
        <v>176676</v>
      </c>
      <c r="E19" s="9">
        <v>153525</v>
      </c>
      <c r="F19" s="9">
        <v>2000</v>
      </c>
      <c r="G19" s="9">
        <v>94403</v>
      </c>
      <c r="H19" s="9">
        <v>56495</v>
      </c>
      <c r="I19" s="9">
        <v>37908</v>
      </c>
      <c r="J19" s="9">
        <v>92386</v>
      </c>
      <c r="K19" s="9">
        <v>55427</v>
      </c>
      <c r="L19" s="9">
        <v>36959</v>
      </c>
      <c r="M19" s="14">
        <f t="shared" si="0"/>
        <v>1.0218323122551036</v>
      </c>
      <c r="N19" s="14">
        <f t="shared" si="1"/>
        <v>1.0192685875115015</v>
      </c>
      <c r="O19" s="14">
        <f t="shared" si="2"/>
        <v>1.0256771016531832</v>
      </c>
      <c r="P19" s="9">
        <v>4397</v>
      </c>
      <c r="Q19" s="9">
        <v>2054</v>
      </c>
      <c r="R19" s="9">
        <v>2339</v>
      </c>
    </row>
    <row r="20" spans="1:18" ht="17.45" customHeight="1" x14ac:dyDescent="0.25">
      <c r="A20" s="8">
        <v>1980</v>
      </c>
      <c r="B20" s="8" t="s">
        <v>9</v>
      </c>
      <c r="C20" s="9">
        <v>368009</v>
      </c>
      <c r="D20" s="9">
        <v>193313</v>
      </c>
      <c r="E20" s="9">
        <v>174696</v>
      </c>
      <c r="F20" s="9">
        <v>2000</v>
      </c>
      <c r="G20" s="9">
        <v>110459</v>
      </c>
      <c r="H20" s="9">
        <v>64392</v>
      </c>
      <c r="I20" s="9">
        <v>46067</v>
      </c>
      <c r="J20" s="9">
        <v>108414</v>
      </c>
      <c r="K20" s="9">
        <v>63355</v>
      </c>
      <c r="L20" s="9">
        <v>45059</v>
      </c>
      <c r="M20" s="14">
        <f t="shared" si="0"/>
        <v>1.0188628774881472</v>
      </c>
      <c r="N20" s="14">
        <f t="shared" si="1"/>
        <v>1.0163680846026359</v>
      </c>
      <c r="O20" s="14">
        <f t="shared" si="2"/>
        <v>1.0223706695665682</v>
      </c>
      <c r="P20" s="9">
        <v>2612</v>
      </c>
      <c r="Q20" s="9">
        <v>1356</v>
      </c>
      <c r="R20" s="9">
        <v>1255</v>
      </c>
    </row>
    <row r="21" spans="1:18" ht="17.45" customHeight="1" x14ac:dyDescent="0.25">
      <c r="A21" s="8">
        <v>1990</v>
      </c>
      <c r="B21" s="8" t="s">
        <v>9</v>
      </c>
      <c r="C21" s="9">
        <v>437093</v>
      </c>
      <c r="D21" s="9">
        <v>221327</v>
      </c>
      <c r="E21" s="9">
        <v>215766</v>
      </c>
      <c r="F21" s="9">
        <v>2000</v>
      </c>
      <c r="G21" s="9">
        <v>165619</v>
      </c>
      <c r="H21" s="9">
        <v>90267</v>
      </c>
      <c r="I21" s="9">
        <v>75352</v>
      </c>
      <c r="J21" s="9">
        <v>158758</v>
      </c>
      <c r="K21" s="9">
        <v>86687</v>
      </c>
      <c r="L21" s="9">
        <v>72071</v>
      </c>
      <c r="M21" s="14">
        <f t="shared" si="0"/>
        <v>1.0432167197873492</v>
      </c>
      <c r="N21" s="14">
        <f t="shared" si="1"/>
        <v>1.0412980031607968</v>
      </c>
      <c r="O21" s="14">
        <f t="shared" si="2"/>
        <v>1.0455245521777137</v>
      </c>
      <c r="P21" s="9">
        <v>4275</v>
      </c>
      <c r="Q21" s="9">
        <v>2212</v>
      </c>
      <c r="R21" s="9">
        <v>2063</v>
      </c>
    </row>
    <row r="22" spans="1:18" ht="17.45" customHeight="1" x14ac:dyDescent="0.25">
      <c r="A22" s="8">
        <v>2000</v>
      </c>
      <c r="B22" s="8" t="s">
        <v>9</v>
      </c>
      <c r="C22" s="9">
        <v>528744</v>
      </c>
      <c r="D22" s="9">
        <v>273895</v>
      </c>
      <c r="E22" s="9">
        <v>254849</v>
      </c>
      <c r="F22" s="9">
        <v>5000</v>
      </c>
      <c r="G22" s="9">
        <v>248444</v>
      </c>
      <c r="H22" s="9">
        <v>135975</v>
      </c>
      <c r="I22" s="9">
        <v>112469</v>
      </c>
      <c r="J22" s="9">
        <v>252309</v>
      </c>
      <c r="K22" s="9">
        <v>138049</v>
      </c>
      <c r="L22" s="9">
        <v>114260</v>
      </c>
      <c r="M22" s="14">
        <f t="shared" si="0"/>
        <v>0.98468148183378312</v>
      </c>
      <c r="N22" s="14">
        <f t="shared" si="1"/>
        <v>0.98497634897753694</v>
      </c>
      <c r="O22" s="14">
        <f t="shared" si="2"/>
        <v>0.98432522317521443</v>
      </c>
      <c r="P22" s="9">
        <v>6529</v>
      </c>
      <c r="Q22" s="9">
        <v>3481</v>
      </c>
      <c r="R22" s="9">
        <v>3048</v>
      </c>
    </row>
    <row r="23" spans="1:18" ht="17.45" customHeight="1" x14ac:dyDescent="0.25">
      <c r="A23" s="2">
        <v>1990</v>
      </c>
      <c r="B23" s="2" t="s">
        <v>10</v>
      </c>
      <c r="C23" s="3">
        <v>326399</v>
      </c>
      <c r="D23" s="3">
        <v>156546</v>
      </c>
      <c r="E23" s="3">
        <v>169853</v>
      </c>
      <c r="F23" s="3">
        <v>5000</v>
      </c>
      <c r="G23" s="3">
        <v>141165</v>
      </c>
      <c r="H23" s="3">
        <v>69203</v>
      </c>
      <c r="I23" s="3">
        <v>71962</v>
      </c>
      <c r="J23" s="3">
        <v>144217</v>
      </c>
      <c r="K23" s="3">
        <v>70615</v>
      </c>
      <c r="L23" s="3">
        <v>73602</v>
      </c>
      <c r="M23" s="13">
        <f t="shared" si="0"/>
        <v>0.97883744634821135</v>
      </c>
      <c r="N23" s="13">
        <f t="shared" si="1"/>
        <v>0.98000424838915245</v>
      </c>
      <c r="O23" s="13">
        <f t="shared" si="2"/>
        <v>0.97771799679356541</v>
      </c>
      <c r="P23" s="3">
        <v>2937</v>
      </c>
      <c r="Q23" s="3">
        <v>1538</v>
      </c>
      <c r="R23" s="3">
        <v>1399</v>
      </c>
    </row>
    <row r="24" spans="1:18" ht="17.45" customHeight="1" x14ac:dyDescent="0.25">
      <c r="A24" s="2">
        <v>2000</v>
      </c>
      <c r="B24" s="2" t="s">
        <v>10</v>
      </c>
      <c r="C24" s="3">
        <v>396084</v>
      </c>
      <c r="D24" s="3">
        <v>195822</v>
      </c>
      <c r="E24" s="3">
        <v>200262</v>
      </c>
      <c r="F24" s="3">
        <v>5000</v>
      </c>
      <c r="G24" s="3">
        <v>196890</v>
      </c>
      <c r="H24" s="3">
        <v>98323</v>
      </c>
      <c r="I24" s="3">
        <v>98567</v>
      </c>
      <c r="J24" s="3">
        <v>200216</v>
      </c>
      <c r="K24" s="3">
        <v>99916</v>
      </c>
      <c r="L24" s="3">
        <v>100300</v>
      </c>
      <c r="M24" s="13">
        <f t="shared" si="0"/>
        <v>0.98338794102369442</v>
      </c>
      <c r="N24" s="13">
        <f t="shared" si="1"/>
        <v>0.9840566075503423</v>
      </c>
      <c r="O24" s="13">
        <f t="shared" si="2"/>
        <v>0.98272183449651052</v>
      </c>
      <c r="P24" s="3">
        <v>4169</v>
      </c>
      <c r="Q24" s="3">
        <v>2129</v>
      </c>
      <c r="R24" s="3">
        <v>2040</v>
      </c>
    </row>
    <row r="25" spans="1:18" ht="17.45" customHeight="1" x14ac:dyDescent="0.25">
      <c r="A25" s="8">
        <v>1975</v>
      </c>
      <c r="B25" s="8" t="s">
        <v>11</v>
      </c>
      <c r="C25" s="9">
        <v>322806</v>
      </c>
      <c r="D25" s="9">
        <v>165473</v>
      </c>
      <c r="E25" s="9">
        <v>157333</v>
      </c>
      <c r="F25" s="9">
        <v>5000</v>
      </c>
      <c r="G25" s="9">
        <v>112880</v>
      </c>
      <c r="H25" s="9">
        <v>60002</v>
      </c>
      <c r="I25" s="9">
        <v>52878</v>
      </c>
      <c r="J25" s="9">
        <v>115480</v>
      </c>
      <c r="K25" s="9">
        <v>61432</v>
      </c>
      <c r="L25" s="9">
        <v>54048</v>
      </c>
      <c r="M25" s="14">
        <f t="shared" si="0"/>
        <v>0.9774852788361621</v>
      </c>
      <c r="N25" s="14">
        <f t="shared" si="1"/>
        <v>0.97672222945696052</v>
      </c>
      <c r="O25" s="14">
        <f t="shared" si="2"/>
        <v>0.97835257548845467</v>
      </c>
      <c r="P25" s="9">
        <v>2506</v>
      </c>
      <c r="Q25" s="9">
        <v>1349</v>
      </c>
      <c r="R25" s="9">
        <v>1157</v>
      </c>
    </row>
    <row r="26" spans="1:18" ht="17.45" customHeight="1" x14ac:dyDescent="0.25">
      <c r="A26" s="8">
        <v>1980</v>
      </c>
      <c r="B26" s="8" t="s">
        <v>11</v>
      </c>
      <c r="C26" s="9">
        <v>341287</v>
      </c>
      <c r="D26" s="9">
        <v>172439</v>
      </c>
      <c r="E26" s="9">
        <v>168848</v>
      </c>
      <c r="F26" s="9">
        <v>5000</v>
      </c>
      <c r="G26" s="9">
        <v>125792</v>
      </c>
      <c r="H26" s="9">
        <v>66064</v>
      </c>
      <c r="I26" s="9">
        <v>59728</v>
      </c>
      <c r="J26" s="9">
        <v>128077</v>
      </c>
      <c r="K26" s="9">
        <v>67216</v>
      </c>
      <c r="L26" s="9">
        <v>60861</v>
      </c>
      <c r="M26" s="14">
        <f t="shared" si="0"/>
        <v>0.98215916987437246</v>
      </c>
      <c r="N26" s="14">
        <f t="shared" si="1"/>
        <v>0.98286122351820993</v>
      </c>
      <c r="O26" s="14">
        <f t="shared" si="2"/>
        <v>0.98138380900741029</v>
      </c>
      <c r="P26" s="9">
        <v>2843</v>
      </c>
      <c r="Q26" s="9">
        <v>1462</v>
      </c>
      <c r="R26" s="9">
        <v>1381</v>
      </c>
    </row>
    <row r="27" spans="1:18" ht="17.45" customHeight="1" x14ac:dyDescent="0.25">
      <c r="A27" s="8">
        <v>1985</v>
      </c>
      <c r="B27" s="8" t="s">
        <v>11</v>
      </c>
      <c r="C27" s="9">
        <v>358289</v>
      </c>
      <c r="D27" s="9">
        <v>181925</v>
      </c>
      <c r="E27" s="9">
        <v>176364</v>
      </c>
      <c r="F27" s="9">
        <v>5000</v>
      </c>
      <c r="G27" s="9">
        <v>145912</v>
      </c>
      <c r="H27" s="9">
        <v>77299</v>
      </c>
      <c r="I27" s="9">
        <v>68613</v>
      </c>
      <c r="J27" s="9">
        <v>148614</v>
      </c>
      <c r="K27" s="9">
        <v>78783</v>
      </c>
      <c r="L27" s="9">
        <v>69831</v>
      </c>
      <c r="M27" s="14">
        <f t="shared" si="0"/>
        <v>0.9818186711884479</v>
      </c>
      <c r="N27" s="14">
        <f t="shared" si="1"/>
        <v>0.98116344896741681</v>
      </c>
      <c r="O27" s="14">
        <f t="shared" si="2"/>
        <v>0.98255788976242642</v>
      </c>
      <c r="P27" s="9">
        <v>2496</v>
      </c>
      <c r="Q27" s="9">
        <v>1290</v>
      </c>
      <c r="R27" s="9">
        <v>1206</v>
      </c>
    </row>
    <row r="28" spans="1:18" ht="17.45" customHeight="1" x14ac:dyDescent="0.25">
      <c r="A28" s="8">
        <v>1990</v>
      </c>
      <c r="B28" s="8" t="s">
        <v>11</v>
      </c>
      <c r="C28" s="9">
        <v>357191</v>
      </c>
      <c r="D28" s="9">
        <v>179895</v>
      </c>
      <c r="E28" s="9">
        <v>177296</v>
      </c>
      <c r="F28" s="9">
        <v>5000</v>
      </c>
      <c r="G28" s="9">
        <v>158309</v>
      </c>
      <c r="H28" s="9">
        <v>82389</v>
      </c>
      <c r="I28" s="9">
        <v>75920</v>
      </c>
      <c r="J28" s="9">
        <v>162544</v>
      </c>
      <c r="K28" s="9">
        <v>84486</v>
      </c>
      <c r="L28" s="9">
        <v>78058</v>
      </c>
      <c r="M28" s="14">
        <f t="shared" si="0"/>
        <v>0.97394551629097348</v>
      </c>
      <c r="N28" s="14">
        <f t="shared" si="1"/>
        <v>0.97517931965059301</v>
      </c>
      <c r="O28" s="14">
        <f t="shared" si="2"/>
        <v>0.97261011043070533</v>
      </c>
      <c r="P28" s="9">
        <v>2680</v>
      </c>
      <c r="Q28" s="9">
        <v>1380</v>
      </c>
      <c r="R28" s="9">
        <v>1300</v>
      </c>
    </row>
    <row r="29" spans="1:18" ht="17.45" customHeight="1" x14ac:dyDescent="0.25">
      <c r="A29" s="8">
        <v>2000</v>
      </c>
      <c r="B29" s="8" t="s">
        <v>11</v>
      </c>
      <c r="C29" s="9">
        <v>365231</v>
      </c>
      <c r="D29" s="9">
        <v>185594</v>
      </c>
      <c r="E29" s="9">
        <v>179637</v>
      </c>
      <c r="F29" s="9">
        <v>5000</v>
      </c>
      <c r="G29" s="9">
        <v>192334</v>
      </c>
      <c r="H29" s="9">
        <v>100151</v>
      </c>
      <c r="I29" s="9">
        <v>92183</v>
      </c>
      <c r="J29" s="9">
        <v>196621</v>
      </c>
      <c r="K29" s="9">
        <v>102248</v>
      </c>
      <c r="L29" s="9">
        <v>94373</v>
      </c>
      <c r="M29" s="14">
        <f t="shared" si="0"/>
        <v>0.97819663209931795</v>
      </c>
      <c r="N29" s="14">
        <f t="shared" si="1"/>
        <v>0.97949104138956267</v>
      </c>
      <c r="O29" s="14">
        <f t="shared" si="2"/>
        <v>0.97679421020842827</v>
      </c>
      <c r="P29" s="9">
        <v>3126</v>
      </c>
      <c r="Q29" s="9">
        <v>1624</v>
      </c>
      <c r="R29" s="9">
        <v>1502</v>
      </c>
    </row>
    <row r="30" spans="1:18" ht="17.45" customHeight="1" x14ac:dyDescent="0.25">
      <c r="A30" s="2">
        <v>1970</v>
      </c>
      <c r="B30" s="2" t="s">
        <v>6</v>
      </c>
      <c r="C30" s="3">
        <v>2041658</v>
      </c>
      <c r="D30" s="3">
        <v>1067437</v>
      </c>
      <c r="E30" s="3">
        <v>974221</v>
      </c>
      <c r="F30" s="3">
        <v>10000</v>
      </c>
      <c r="G30" s="3">
        <v>1424783</v>
      </c>
      <c r="H30" s="3">
        <v>769744</v>
      </c>
      <c r="I30" s="3">
        <v>655039</v>
      </c>
      <c r="J30" s="3">
        <v>1467304</v>
      </c>
      <c r="K30" s="3">
        <v>792786</v>
      </c>
      <c r="L30" s="3">
        <v>674518</v>
      </c>
      <c r="M30" s="13">
        <f t="shared" si="0"/>
        <v>0.97102100178286166</v>
      </c>
      <c r="N30" s="13">
        <f t="shared" si="1"/>
        <v>0.970935410060218</v>
      </c>
      <c r="O30" s="13">
        <f t="shared" si="2"/>
        <v>0.97112160090612853</v>
      </c>
      <c r="P30" s="3">
        <v>36299</v>
      </c>
      <c r="Q30" s="3">
        <v>18504</v>
      </c>
      <c r="R30" s="3">
        <v>17795</v>
      </c>
    </row>
    <row r="31" spans="1:18" ht="17.45" customHeight="1" x14ac:dyDescent="0.25">
      <c r="A31" s="2">
        <v>1975</v>
      </c>
      <c r="B31" s="2" t="s">
        <v>6</v>
      </c>
      <c r="C31" s="3">
        <v>2585293</v>
      </c>
      <c r="D31" s="3">
        <v>1359373</v>
      </c>
      <c r="E31" s="3">
        <v>1225920</v>
      </c>
      <c r="F31" s="3">
        <v>10000</v>
      </c>
      <c r="G31" s="3">
        <v>1964987</v>
      </c>
      <c r="H31" s="3">
        <v>1053460</v>
      </c>
      <c r="I31" s="3">
        <v>911527</v>
      </c>
      <c r="J31" s="3">
        <v>1997980</v>
      </c>
      <c r="K31" s="3">
        <v>1071452</v>
      </c>
      <c r="L31" s="3">
        <v>926528</v>
      </c>
      <c r="M31" s="13">
        <f t="shared" si="0"/>
        <v>0.98348682168990675</v>
      </c>
      <c r="N31" s="13">
        <f t="shared" si="1"/>
        <v>0.98320783385536636</v>
      </c>
      <c r="O31" s="13">
        <f t="shared" si="2"/>
        <v>0.98380944774469847</v>
      </c>
      <c r="P31" s="3">
        <v>54158</v>
      </c>
      <c r="Q31" s="3">
        <v>27316</v>
      </c>
      <c r="R31" s="3">
        <v>26842</v>
      </c>
    </row>
    <row r="32" spans="1:18" ht="17.45" customHeight="1" x14ac:dyDescent="0.25">
      <c r="A32" s="2">
        <v>1980</v>
      </c>
      <c r="B32" s="2" t="s">
        <v>6</v>
      </c>
      <c r="C32" s="3">
        <v>2854689</v>
      </c>
      <c r="D32" s="3">
        <v>1466854</v>
      </c>
      <c r="E32" s="3">
        <v>1388105</v>
      </c>
      <c r="F32" s="3">
        <v>10000</v>
      </c>
      <c r="G32" s="3">
        <v>2220479</v>
      </c>
      <c r="H32" s="3">
        <v>1156555</v>
      </c>
      <c r="I32" s="3">
        <v>1064194</v>
      </c>
      <c r="J32" s="3">
        <v>2238967</v>
      </c>
      <c r="K32" s="3">
        <v>1166751</v>
      </c>
      <c r="L32" s="3">
        <v>1072216</v>
      </c>
      <c r="M32" s="13">
        <f t="shared" si="0"/>
        <v>0.99174262059244289</v>
      </c>
      <c r="N32" s="13">
        <f t="shared" si="1"/>
        <v>0.99126120311874599</v>
      </c>
      <c r="O32" s="13">
        <f t="shared" si="2"/>
        <v>0.99251829855178431</v>
      </c>
      <c r="P32" s="3">
        <v>50945</v>
      </c>
      <c r="Q32" s="3">
        <v>26199</v>
      </c>
      <c r="R32" s="3">
        <v>24739</v>
      </c>
    </row>
    <row r="33" spans="1:18" ht="17.45" customHeight="1" x14ac:dyDescent="0.25">
      <c r="A33" s="2">
        <v>1985</v>
      </c>
      <c r="B33" s="2" t="s">
        <v>6</v>
      </c>
      <c r="C33" s="3">
        <v>3306327</v>
      </c>
      <c r="D33" s="3">
        <v>1702805</v>
      </c>
      <c r="E33" s="3">
        <v>1603522</v>
      </c>
      <c r="F33" s="3">
        <v>10000</v>
      </c>
      <c r="G33" s="3">
        <v>2687318</v>
      </c>
      <c r="H33" s="3">
        <v>1396274</v>
      </c>
      <c r="I33" s="3">
        <v>1291044</v>
      </c>
      <c r="J33" s="3">
        <v>2737209</v>
      </c>
      <c r="K33" s="3">
        <v>1422935</v>
      </c>
      <c r="L33" s="3">
        <v>1314274</v>
      </c>
      <c r="M33" s="13">
        <f t="shared" si="0"/>
        <v>0.9817730396180927</v>
      </c>
      <c r="N33" s="13">
        <f t="shared" si="1"/>
        <v>0.98126337464466051</v>
      </c>
      <c r="O33" s="13">
        <f t="shared" si="2"/>
        <v>0.98232484246055241</v>
      </c>
      <c r="P33" s="3">
        <v>51627</v>
      </c>
      <c r="Q33" s="3">
        <v>26355</v>
      </c>
      <c r="R33" s="3">
        <v>25272</v>
      </c>
    </row>
    <row r="34" spans="1:18" ht="17.45" customHeight="1" x14ac:dyDescent="0.25">
      <c r="A34" s="2">
        <v>1990</v>
      </c>
      <c r="B34" s="2" t="s">
        <v>6</v>
      </c>
      <c r="C34" s="3">
        <v>3236626</v>
      </c>
      <c r="D34" s="3">
        <v>1658276</v>
      </c>
      <c r="E34" s="3">
        <v>1578350</v>
      </c>
      <c r="F34" s="3">
        <v>10000</v>
      </c>
      <c r="G34" s="3">
        <v>2795556</v>
      </c>
      <c r="H34" s="3">
        <v>1438735</v>
      </c>
      <c r="I34" s="3">
        <v>1356821</v>
      </c>
      <c r="J34" s="3">
        <v>2836719</v>
      </c>
      <c r="K34" s="3">
        <v>1460015</v>
      </c>
      <c r="L34" s="3">
        <v>1376704</v>
      </c>
      <c r="M34" s="13">
        <f t="shared" si="0"/>
        <v>0.98548922187922028</v>
      </c>
      <c r="N34" s="13">
        <f t="shared" si="1"/>
        <v>0.98542480727937731</v>
      </c>
      <c r="O34" s="13">
        <f t="shared" si="2"/>
        <v>0.98555753451722372</v>
      </c>
      <c r="P34" s="3">
        <v>48237</v>
      </c>
      <c r="Q34" s="3">
        <v>24478</v>
      </c>
      <c r="R34" s="3">
        <v>23759</v>
      </c>
    </row>
    <row r="35" spans="1:18" ht="17.45" customHeight="1" x14ac:dyDescent="0.25">
      <c r="A35" s="2">
        <v>2000</v>
      </c>
      <c r="B35" s="2" t="s">
        <v>6</v>
      </c>
      <c r="C35" s="3">
        <v>4007860</v>
      </c>
      <c r="D35" s="3">
        <v>2027105</v>
      </c>
      <c r="E35" s="3">
        <v>1980755</v>
      </c>
      <c r="F35" s="3">
        <v>10000</v>
      </c>
      <c r="G35" s="3">
        <v>3553196</v>
      </c>
      <c r="H35" s="3">
        <v>1791320</v>
      </c>
      <c r="I35" s="3">
        <v>1761876</v>
      </c>
      <c r="J35" s="3">
        <v>3540522</v>
      </c>
      <c r="K35" s="3">
        <v>1785489</v>
      </c>
      <c r="L35" s="3">
        <v>1755033</v>
      </c>
      <c r="M35" s="13">
        <f t="shared" si="0"/>
        <v>1.0035796981349079</v>
      </c>
      <c r="N35" s="13">
        <f t="shared" si="1"/>
        <v>1.0032657720097968</v>
      </c>
      <c r="O35" s="13">
        <f t="shared" si="2"/>
        <v>1.0038990719832619</v>
      </c>
      <c r="P35" s="3">
        <v>56128</v>
      </c>
      <c r="Q35" s="3">
        <v>28626</v>
      </c>
      <c r="R35" s="3">
        <v>27503</v>
      </c>
    </row>
    <row r="36" spans="1:18" ht="17.45" customHeight="1" x14ac:dyDescent="0.25">
      <c r="A36" s="8">
        <v>1975</v>
      </c>
      <c r="B36" s="8" t="s">
        <v>12</v>
      </c>
      <c r="C36" s="9">
        <v>669357</v>
      </c>
      <c r="D36" s="9">
        <v>342365</v>
      </c>
      <c r="E36" s="9">
        <v>326992</v>
      </c>
      <c r="F36" s="9">
        <v>5000</v>
      </c>
      <c r="G36" s="9">
        <v>227393</v>
      </c>
      <c r="H36" s="9">
        <v>120224</v>
      </c>
      <c r="I36" s="9">
        <v>107169</v>
      </c>
      <c r="J36" s="9">
        <v>223089</v>
      </c>
      <c r="K36" s="9">
        <v>118191</v>
      </c>
      <c r="L36" s="9">
        <v>104898</v>
      </c>
      <c r="M36" s="14">
        <f t="shared" si="0"/>
        <v>1.0192927486339534</v>
      </c>
      <c r="N36" s="14">
        <f t="shared" si="1"/>
        <v>1.0172009713091521</v>
      </c>
      <c r="O36" s="14">
        <f t="shared" si="2"/>
        <v>1.0216496024709718</v>
      </c>
      <c r="P36" s="9">
        <v>8233</v>
      </c>
      <c r="Q36" s="9">
        <v>3844</v>
      </c>
      <c r="R36" s="9">
        <v>4387</v>
      </c>
    </row>
    <row r="37" spans="1:18" ht="17.45" customHeight="1" x14ac:dyDescent="0.25">
      <c r="A37" s="8">
        <v>1980</v>
      </c>
      <c r="B37" s="8" t="s">
        <v>12</v>
      </c>
      <c r="C37" s="9">
        <v>748706</v>
      </c>
      <c r="D37" s="9">
        <v>376863</v>
      </c>
      <c r="E37" s="9">
        <v>371843</v>
      </c>
      <c r="F37" s="9">
        <v>5000</v>
      </c>
      <c r="G37" s="9">
        <v>284174</v>
      </c>
      <c r="H37" s="9">
        <v>147747</v>
      </c>
      <c r="I37" s="9">
        <v>136427</v>
      </c>
      <c r="J37" s="9">
        <v>280837</v>
      </c>
      <c r="K37" s="9">
        <v>146160</v>
      </c>
      <c r="L37" s="9">
        <v>134677</v>
      </c>
      <c r="M37" s="14">
        <f t="shared" si="0"/>
        <v>1.0118823374412915</v>
      </c>
      <c r="N37" s="14">
        <f t="shared" si="1"/>
        <v>1.0108579638752053</v>
      </c>
      <c r="O37" s="14">
        <f t="shared" si="2"/>
        <v>1.0129940524365704</v>
      </c>
      <c r="P37" s="9">
        <v>6332</v>
      </c>
      <c r="Q37" s="9">
        <v>3187</v>
      </c>
      <c r="R37" s="9">
        <v>3144</v>
      </c>
    </row>
    <row r="38" spans="1:18" ht="17.45" customHeight="1" x14ac:dyDescent="0.25">
      <c r="A38" s="8">
        <v>1985</v>
      </c>
      <c r="B38" s="8" t="s">
        <v>12</v>
      </c>
      <c r="C38" s="9">
        <v>891149</v>
      </c>
      <c r="D38" s="9">
        <v>455345</v>
      </c>
      <c r="E38" s="9">
        <v>435804</v>
      </c>
      <c r="F38" s="9">
        <v>5000</v>
      </c>
      <c r="G38" s="9">
        <v>409148</v>
      </c>
      <c r="H38" s="9">
        <v>213949</v>
      </c>
      <c r="I38" s="9">
        <v>195199</v>
      </c>
      <c r="J38" s="9">
        <v>397712</v>
      </c>
      <c r="K38" s="9">
        <v>208191</v>
      </c>
      <c r="L38" s="9">
        <v>189521</v>
      </c>
      <c r="M38" s="14">
        <f t="shared" si="0"/>
        <v>1.0287544756004345</v>
      </c>
      <c r="N38" s="14">
        <f t="shared" si="1"/>
        <v>1.0276572954642611</v>
      </c>
      <c r="O38" s="14">
        <f t="shared" si="2"/>
        <v>1.02995974060922</v>
      </c>
      <c r="P38" s="9">
        <v>7154</v>
      </c>
      <c r="Q38" s="9">
        <v>3731</v>
      </c>
      <c r="R38" s="9">
        <v>3423</v>
      </c>
    </row>
    <row r="39" spans="1:18" ht="17.45" customHeight="1" x14ac:dyDescent="0.25">
      <c r="A39" s="8">
        <v>1990</v>
      </c>
      <c r="B39" s="8" t="s">
        <v>12</v>
      </c>
      <c r="C39" s="9">
        <v>1132211</v>
      </c>
      <c r="D39" s="9">
        <v>588656</v>
      </c>
      <c r="E39" s="9">
        <v>543555</v>
      </c>
      <c r="F39" s="9">
        <v>10000</v>
      </c>
      <c r="G39" s="9">
        <v>585049</v>
      </c>
      <c r="H39" s="9">
        <v>310704</v>
      </c>
      <c r="I39" s="9">
        <v>274345</v>
      </c>
      <c r="J39" s="9">
        <v>602194</v>
      </c>
      <c r="K39" s="9">
        <v>319719</v>
      </c>
      <c r="L39" s="9">
        <v>282475</v>
      </c>
      <c r="M39" s="14">
        <f t="shared" si="0"/>
        <v>0.97152910855969998</v>
      </c>
      <c r="N39" s="14">
        <f t="shared" si="1"/>
        <v>0.97180336482974117</v>
      </c>
      <c r="O39" s="14">
        <f t="shared" si="2"/>
        <v>0.97121869191963894</v>
      </c>
      <c r="P39" s="9">
        <v>10409</v>
      </c>
      <c r="Q39" s="9">
        <v>5283</v>
      </c>
      <c r="R39" s="9">
        <v>5127</v>
      </c>
    </row>
    <row r="40" spans="1:18" ht="17.45" customHeight="1" x14ac:dyDescent="0.25">
      <c r="A40" s="8">
        <v>2000</v>
      </c>
      <c r="B40" s="8" t="s">
        <v>12</v>
      </c>
      <c r="C40" s="9">
        <v>1719751</v>
      </c>
      <c r="D40" s="9">
        <v>885826</v>
      </c>
      <c r="E40" s="9">
        <v>833925</v>
      </c>
      <c r="F40" s="9">
        <v>10000</v>
      </c>
      <c r="G40" s="9">
        <v>888667</v>
      </c>
      <c r="H40" s="9">
        <v>454320</v>
      </c>
      <c r="I40" s="9">
        <v>434347</v>
      </c>
      <c r="J40" s="9">
        <v>936330</v>
      </c>
      <c r="K40" s="9">
        <v>477629</v>
      </c>
      <c r="L40" s="9">
        <v>458701</v>
      </c>
      <c r="M40" s="14">
        <f t="shared" si="0"/>
        <v>0.94909593839778705</v>
      </c>
      <c r="N40" s="14">
        <f t="shared" si="1"/>
        <v>0.95119852437770736</v>
      </c>
      <c r="O40" s="14">
        <f t="shared" si="2"/>
        <v>0.94690659056771187</v>
      </c>
      <c r="P40" s="9">
        <v>14695</v>
      </c>
      <c r="Q40" s="9">
        <v>7586</v>
      </c>
      <c r="R40" s="9">
        <v>7108</v>
      </c>
    </row>
    <row r="41" spans="1:18" ht="17.45" customHeight="1" x14ac:dyDescent="0.25">
      <c r="A41" s="2">
        <v>2000</v>
      </c>
      <c r="B41" s="2" t="s">
        <v>13</v>
      </c>
      <c r="C41" s="3">
        <v>133756</v>
      </c>
      <c r="D41" s="3">
        <v>69833</v>
      </c>
      <c r="E41" s="3">
        <v>63923</v>
      </c>
      <c r="F41" s="3">
        <v>2000</v>
      </c>
      <c r="G41" s="3">
        <v>41923</v>
      </c>
      <c r="H41" s="3">
        <v>24745</v>
      </c>
      <c r="I41" s="3">
        <v>17178</v>
      </c>
      <c r="J41" s="3">
        <v>39725</v>
      </c>
      <c r="K41" s="3">
        <v>23572</v>
      </c>
      <c r="L41" s="3">
        <v>16153</v>
      </c>
      <c r="M41" s="13">
        <f t="shared" si="0"/>
        <v>1.055330396475771</v>
      </c>
      <c r="N41" s="13">
        <f t="shared" si="1"/>
        <v>1.049762430001697</v>
      </c>
      <c r="O41" s="13">
        <f t="shared" si="2"/>
        <v>1.0634557048226336</v>
      </c>
      <c r="P41" s="3">
        <v>579</v>
      </c>
      <c r="Q41" s="3">
        <v>279</v>
      </c>
      <c r="R41" s="3">
        <v>299</v>
      </c>
    </row>
    <row r="42" spans="1:18" ht="17.45" customHeight="1" x14ac:dyDescent="0.25">
      <c r="A42" s="8">
        <v>1975</v>
      </c>
      <c r="B42" s="8" t="s">
        <v>14</v>
      </c>
      <c r="C42" s="9">
        <v>228026</v>
      </c>
      <c r="D42" s="9">
        <v>113829</v>
      </c>
      <c r="E42" s="9">
        <v>114197</v>
      </c>
      <c r="F42" s="9">
        <v>5000</v>
      </c>
      <c r="G42" s="9">
        <v>33860</v>
      </c>
      <c r="H42" s="9">
        <v>19281</v>
      </c>
      <c r="I42" s="9">
        <v>14579</v>
      </c>
      <c r="J42" s="9">
        <v>42496</v>
      </c>
      <c r="K42" s="9">
        <v>24122</v>
      </c>
      <c r="L42" s="9">
        <v>18374</v>
      </c>
      <c r="M42" s="14">
        <f t="shared" si="0"/>
        <v>0.79678087349397586</v>
      </c>
      <c r="N42" s="14">
        <f t="shared" si="1"/>
        <v>0.79931183152309093</v>
      </c>
      <c r="O42" s="14">
        <f t="shared" si="2"/>
        <v>0.79345814738217046</v>
      </c>
      <c r="P42" s="9">
        <v>986</v>
      </c>
      <c r="Q42" s="9">
        <v>478</v>
      </c>
      <c r="R42" s="9">
        <v>509</v>
      </c>
    </row>
    <row r="43" spans="1:18" ht="17.45" customHeight="1" x14ac:dyDescent="0.25">
      <c r="A43" s="8">
        <v>1980</v>
      </c>
      <c r="B43" s="8" t="s">
        <v>14</v>
      </c>
      <c r="C43" s="9">
        <v>228997</v>
      </c>
      <c r="D43" s="9">
        <v>112606</v>
      </c>
      <c r="E43" s="9">
        <v>116391</v>
      </c>
      <c r="F43" s="9">
        <v>5000</v>
      </c>
      <c r="G43" s="9">
        <v>31320</v>
      </c>
      <c r="H43" s="9">
        <v>17399</v>
      </c>
      <c r="I43" s="9">
        <v>13921</v>
      </c>
      <c r="J43" s="9">
        <v>46208</v>
      </c>
      <c r="K43" s="9">
        <v>25695</v>
      </c>
      <c r="L43" s="9">
        <v>20513</v>
      </c>
      <c r="M43" s="14">
        <f t="shared" si="0"/>
        <v>0.67780470914127422</v>
      </c>
      <c r="N43" s="14">
        <f t="shared" si="1"/>
        <v>0.67713562949990269</v>
      </c>
      <c r="O43" s="14">
        <f t="shared" si="2"/>
        <v>0.6786428118753961</v>
      </c>
      <c r="P43" s="9">
        <v>912</v>
      </c>
      <c r="Q43" s="9">
        <v>478</v>
      </c>
      <c r="R43" s="9">
        <v>433</v>
      </c>
    </row>
    <row r="44" spans="1:18" ht="17.45" customHeight="1" x14ac:dyDescent="0.25">
      <c r="A44" s="8">
        <v>1985</v>
      </c>
      <c r="B44" s="8" t="s">
        <v>14</v>
      </c>
      <c r="C44" s="9">
        <v>226338</v>
      </c>
      <c r="D44" s="9">
        <v>110557</v>
      </c>
      <c r="E44" s="9">
        <v>115781</v>
      </c>
      <c r="F44" s="9">
        <v>5000</v>
      </c>
      <c r="G44" s="9">
        <v>50802</v>
      </c>
      <c r="H44" s="9">
        <v>28263</v>
      </c>
      <c r="I44" s="9">
        <v>22539</v>
      </c>
      <c r="J44" s="9">
        <v>58302</v>
      </c>
      <c r="K44" s="9">
        <v>32192</v>
      </c>
      <c r="L44" s="9">
        <v>26110</v>
      </c>
      <c r="M44" s="14">
        <f t="shared" si="0"/>
        <v>0.87135947308840178</v>
      </c>
      <c r="N44" s="14">
        <f t="shared" si="1"/>
        <v>0.8779510437375746</v>
      </c>
      <c r="O44" s="14">
        <f t="shared" si="2"/>
        <v>0.86323247797778624</v>
      </c>
      <c r="P44" s="9">
        <v>1120</v>
      </c>
      <c r="Q44" s="9">
        <v>590</v>
      </c>
      <c r="R44" s="9">
        <v>531</v>
      </c>
    </row>
    <row r="45" spans="1:18" ht="17.45" customHeight="1" x14ac:dyDescent="0.25">
      <c r="A45" s="8">
        <v>1990</v>
      </c>
      <c r="B45" s="8" t="s">
        <v>14</v>
      </c>
      <c r="C45" s="9">
        <v>212833</v>
      </c>
      <c r="D45" s="9">
        <v>104093</v>
      </c>
      <c r="E45" s="9">
        <v>108740</v>
      </c>
      <c r="F45" s="9">
        <v>5000</v>
      </c>
      <c r="G45" s="9">
        <v>53015</v>
      </c>
      <c r="H45" s="9">
        <v>28380</v>
      </c>
      <c r="I45" s="9">
        <v>24635</v>
      </c>
      <c r="J45" s="9">
        <v>66097</v>
      </c>
      <c r="K45" s="9">
        <v>35324</v>
      </c>
      <c r="L45" s="9">
        <v>30773</v>
      </c>
      <c r="M45" s="14">
        <f t="shared" si="0"/>
        <v>0.80207876303009218</v>
      </c>
      <c r="N45" s="14">
        <f t="shared" si="1"/>
        <v>0.80341977126033293</v>
      </c>
      <c r="O45" s="14">
        <f t="shared" si="2"/>
        <v>0.8005394339193449</v>
      </c>
      <c r="P45" s="9">
        <v>1181</v>
      </c>
      <c r="Q45" s="9">
        <v>620</v>
      </c>
      <c r="R45" s="9">
        <v>561</v>
      </c>
    </row>
    <row r="46" spans="1:18" ht="17.45" customHeight="1" x14ac:dyDescent="0.25">
      <c r="A46" s="8">
        <v>2000</v>
      </c>
      <c r="B46" s="8" t="s">
        <v>14</v>
      </c>
      <c r="C46" s="9">
        <v>191934</v>
      </c>
      <c r="D46" s="9">
        <v>96599</v>
      </c>
      <c r="E46" s="9">
        <v>95335</v>
      </c>
      <c r="F46" s="9">
        <v>5000</v>
      </c>
      <c r="G46" s="9">
        <v>80397</v>
      </c>
      <c r="H46" s="9">
        <v>42514</v>
      </c>
      <c r="I46" s="9">
        <v>37883</v>
      </c>
      <c r="J46" s="9">
        <v>84198</v>
      </c>
      <c r="K46" s="9">
        <v>44471</v>
      </c>
      <c r="L46" s="9">
        <v>39727</v>
      </c>
      <c r="M46" s="14">
        <f t="shared" si="0"/>
        <v>0.95485640989097131</v>
      </c>
      <c r="N46" s="14">
        <f t="shared" si="1"/>
        <v>0.95599379370825932</v>
      </c>
      <c r="O46" s="14">
        <f t="shared" si="2"/>
        <v>0.95358320537669594</v>
      </c>
      <c r="P46" s="9">
        <v>1333</v>
      </c>
      <c r="Q46" s="9">
        <v>698</v>
      </c>
      <c r="R46" s="9">
        <v>635</v>
      </c>
    </row>
    <row r="47" spans="1:18" ht="17.45" customHeight="1" x14ac:dyDescent="0.25">
      <c r="A47" s="2">
        <v>1975</v>
      </c>
      <c r="B47" s="2" t="s">
        <v>15</v>
      </c>
      <c r="C47" s="3">
        <v>609869</v>
      </c>
      <c r="D47" s="3">
        <v>309516</v>
      </c>
      <c r="E47" s="3">
        <v>300353</v>
      </c>
      <c r="F47" s="3">
        <v>10000</v>
      </c>
      <c r="G47" s="3">
        <v>189538</v>
      </c>
      <c r="H47" s="3">
        <v>99258</v>
      </c>
      <c r="I47" s="3">
        <v>90280</v>
      </c>
      <c r="J47" s="3">
        <v>214505</v>
      </c>
      <c r="K47" s="3">
        <v>111799</v>
      </c>
      <c r="L47" s="3">
        <v>102706</v>
      </c>
      <c r="M47" s="13">
        <f t="shared" si="0"/>
        <v>0.88360644274026245</v>
      </c>
      <c r="N47" s="13">
        <f t="shared" si="1"/>
        <v>0.88782547249975408</v>
      </c>
      <c r="O47" s="13">
        <f t="shared" si="2"/>
        <v>0.87901388429108329</v>
      </c>
      <c r="P47" s="3">
        <v>4826</v>
      </c>
      <c r="Q47" s="3">
        <v>2512</v>
      </c>
      <c r="R47" s="3">
        <v>2314</v>
      </c>
    </row>
    <row r="48" spans="1:18" ht="17.45" customHeight="1" x14ac:dyDescent="0.25">
      <c r="A48" s="2">
        <v>1980</v>
      </c>
      <c r="B48" s="2" t="s">
        <v>15</v>
      </c>
      <c r="C48" s="3">
        <v>652488</v>
      </c>
      <c r="D48" s="3">
        <v>326599</v>
      </c>
      <c r="E48" s="3">
        <v>325889</v>
      </c>
      <c r="F48" s="3">
        <v>10000</v>
      </c>
      <c r="G48" s="3">
        <v>211320</v>
      </c>
      <c r="H48" s="3">
        <v>108548</v>
      </c>
      <c r="I48" s="3">
        <v>102772</v>
      </c>
      <c r="J48" s="3">
        <v>245329</v>
      </c>
      <c r="K48" s="3">
        <v>125380</v>
      </c>
      <c r="L48" s="3">
        <v>119949</v>
      </c>
      <c r="M48" s="13">
        <f t="shared" si="0"/>
        <v>0.86137391013699971</v>
      </c>
      <c r="N48" s="13">
        <f t="shared" si="1"/>
        <v>0.86575211357473281</v>
      </c>
      <c r="O48" s="13">
        <f t="shared" si="2"/>
        <v>0.85679747225904346</v>
      </c>
      <c r="P48" s="3">
        <v>5662</v>
      </c>
      <c r="Q48" s="3">
        <v>2888</v>
      </c>
      <c r="R48" s="3">
        <v>2774</v>
      </c>
    </row>
    <row r="49" spans="1:18" ht="17.45" customHeight="1" x14ac:dyDescent="0.25">
      <c r="A49" s="2">
        <v>1985</v>
      </c>
      <c r="B49" s="2" t="s">
        <v>15</v>
      </c>
      <c r="C49" s="3">
        <v>743419</v>
      </c>
      <c r="D49" s="3">
        <v>372382</v>
      </c>
      <c r="E49" s="3">
        <v>371037</v>
      </c>
      <c r="F49" s="3">
        <v>10000</v>
      </c>
      <c r="G49" s="3">
        <v>274606</v>
      </c>
      <c r="H49" s="3">
        <v>140406</v>
      </c>
      <c r="I49" s="3">
        <v>134200</v>
      </c>
      <c r="J49" s="3">
        <v>302311</v>
      </c>
      <c r="K49" s="3">
        <v>154360</v>
      </c>
      <c r="L49" s="3">
        <v>147951</v>
      </c>
      <c r="M49" s="13">
        <f t="shared" si="0"/>
        <v>0.90835596455305956</v>
      </c>
      <c r="N49" s="13">
        <f t="shared" si="1"/>
        <v>0.90960093288416688</v>
      </c>
      <c r="O49" s="13">
        <f t="shared" si="2"/>
        <v>0.90705706619083348</v>
      </c>
      <c r="P49" s="3">
        <v>5206</v>
      </c>
      <c r="Q49" s="3">
        <v>2651</v>
      </c>
      <c r="R49" s="3">
        <v>2556</v>
      </c>
    </row>
    <row r="50" spans="1:18" ht="17.45" customHeight="1" x14ac:dyDescent="0.25">
      <c r="A50" s="2">
        <v>1990</v>
      </c>
      <c r="B50" s="2" t="s">
        <v>15</v>
      </c>
      <c r="C50" s="3">
        <v>824816</v>
      </c>
      <c r="D50" s="3">
        <v>416304</v>
      </c>
      <c r="E50" s="3">
        <v>408512</v>
      </c>
      <c r="F50" s="3">
        <v>10000</v>
      </c>
      <c r="G50" s="3">
        <v>344913</v>
      </c>
      <c r="H50" s="3">
        <v>178021</v>
      </c>
      <c r="I50" s="3">
        <v>166892</v>
      </c>
      <c r="J50" s="3">
        <v>384711</v>
      </c>
      <c r="K50" s="3">
        <v>197623</v>
      </c>
      <c r="L50" s="3">
        <v>187088</v>
      </c>
      <c r="M50" s="13">
        <f t="shared" si="0"/>
        <v>0.89655091744192394</v>
      </c>
      <c r="N50" s="13">
        <f t="shared" si="1"/>
        <v>0.90081114040369792</v>
      </c>
      <c r="O50" s="13">
        <f t="shared" si="2"/>
        <v>0.89205079962370648</v>
      </c>
      <c r="P50" s="3">
        <v>6200</v>
      </c>
      <c r="Q50" s="3">
        <v>3155</v>
      </c>
      <c r="R50" s="3">
        <v>3046</v>
      </c>
    </row>
    <row r="51" spans="1:18" ht="17.45" customHeight="1" x14ac:dyDescent="0.25">
      <c r="A51" s="2">
        <v>2000</v>
      </c>
      <c r="B51" s="2" t="s">
        <v>15</v>
      </c>
      <c r="C51" s="3">
        <v>950757</v>
      </c>
      <c r="D51" s="3">
        <v>475817</v>
      </c>
      <c r="E51" s="3">
        <v>474940</v>
      </c>
      <c r="F51" s="3">
        <v>10000</v>
      </c>
      <c r="G51" s="3">
        <v>464681</v>
      </c>
      <c r="H51" s="3">
        <v>233548</v>
      </c>
      <c r="I51" s="3">
        <v>231133</v>
      </c>
      <c r="J51" s="3">
        <v>493114</v>
      </c>
      <c r="K51" s="3">
        <v>247560</v>
      </c>
      <c r="L51" s="3">
        <v>245554</v>
      </c>
      <c r="M51" s="13">
        <f t="shared" si="0"/>
        <v>0.94233990517405708</v>
      </c>
      <c r="N51" s="13">
        <f t="shared" si="1"/>
        <v>0.94339957989982226</v>
      </c>
      <c r="O51" s="13">
        <f t="shared" si="2"/>
        <v>0.9412715736660775</v>
      </c>
      <c r="P51" s="3">
        <v>7468</v>
      </c>
      <c r="Q51" s="3">
        <v>3736</v>
      </c>
      <c r="R51" s="3">
        <v>3731</v>
      </c>
    </row>
    <row r="52" spans="1:18" ht="17.45" customHeight="1" x14ac:dyDescent="0.25">
      <c r="A52" s="8">
        <v>1975</v>
      </c>
      <c r="B52" s="8" t="s">
        <v>23</v>
      </c>
      <c r="C52" s="9">
        <v>789255</v>
      </c>
      <c r="D52" s="9">
        <v>408133</v>
      </c>
      <c r="E52" s="9">
        <v>381122</v>
      </c>
      <c r="F52" s="9">
        <v>5000</v>
      </c>
      <c r="G52" s="9">
        <v>291903</v>
      </c>
      <c r="H52" s="9">
        <v>156859</v>
      </c>
      <c r="I52" s="9">
        <v>135044</v>
      </c>
      <c r="J52" s="9">
        <v>294827</v>
      </c>
      <c r="K52" s="9">
        <v>158719</v>
      </c>
      <c r="L52" s="9">
        <v>136108</v>
      </c>
      <c r="M52" s="14">
        <f t="shared" si="0"/>
        <v>0.99008231946192171</v>
      </c>
      <c r="N52" s="14">
        <f t="shared" si="1"/>
        <v>0.98828117616668454</v>
      </c>
      <c r="O52" s="14">
        <f t="shared" si="2"/>
        <v>0.99218267846122199</v>
      </c>
      <c r="P52" s="9">
        <v>11547</v>
      </c>
      <c r="Q52" s="9">
        <v>5295</v>
      </c>
      <c r="R52" s="9">
        <v>6248</v>
      </c>
    </row>
    <row r="53" spans="1:18" ht="17.45" customHeight="1" x14ac:dyDescent="0.25">
      <c r="A53" s="8">
        <v>1980</v>
      </c>
      <c r="B53" s="8" t="s">
        <v>23</v>
      </c>
      <c r="C53" s="9">
        <v>853177</v>
      </c>
      <c r="D53" s="9">
        <v>433525</v>
      </c>
      <c r="E53" s="9">
        <v>419652</v>
      </c>
      <c r="F53" s="9">
        <v>5000</v>
      </c>
      <c r="G53" s="9">
        <v>350437</v>
      </c>
      <c r="H53" s="9">
        <v>183133</v>
      </c>
      <c r="I53" s="9">
        <v>167304</v>
      </c>
      <c r="J53" s="9">
        <v>344368</v>
      </c>
      <c r="K53" s="9">
        <v>180439</v>
      </c>
      <c r="L53" s="9">
        <v>163929</v>
      </c>
      <c r="M53" s="14">
        <f t="shared" si="0"/>
        <v>1.0176235887190448</v>
      </c>
      <c r="N53" s="14">
        <f t="shared" si="1"/>
        <v>1.0149302534374498</v>
      </c>
      <c r="O53" s="14">
        <f t="shared" si="2"/>
        <v>1.0205881814688067</v>
      </c>
      <c r="P53" s="9">
        <v>6208</v>
      </c>
      <c r="Q53" s="9">
        <v>3184</v>
      </c>
      <c r="R53" s="9">
        <v>3023</v>
      </c>
    </row>
    <row r="54" spans="1:18" ht="17.45" customHeight="1" x14ac:dyDescent="0.25">
      <c r="A54" s="8">
        <v>1985</v>
      </c>
      <c r="B54" s="8" t="s">
        <v>23</v>
      </c>
      <c r="C54" s="9">
        <v>910282</v>
      </c>
      <c r="D54" s="9">
        <v>463480</v>
      </c>
      <c r="E54" s="9">
        <v>446802</v>
      </c>
      <c r="F54" s="9">
        <v>5000</v>
      </c>
      <c r="G54" s="9">
        <v>428041</v>
      </c>
      <c r="H54" s="9">
        <v>221283</v>
      </c>
      <c r="I54" s="9">
        <v>206758</v>
      </c>
      <c r="J54" s="9">
        <v>407585</v>
      </c>
      <c r="K54" s="9">
        <v>210867</v>
      </c>
      <c r="L54" s="9">
        <v>196718</v>
      </c>
      <c r="M54" s="14">
        <f t="shared" si="0"/>
        <v>1.0501883042800888</v>
      </c>
      <c r="N54" s="14">
        <f t="shared" si="1"/>
        <v>1.049396064818108</v>
      </c>
      <c r="O54" s="14">
        <f t="shared" si="2"/>
        <v>1.0510375257983509</v>
      </c>
      <c r="P54" s="9">
        <v>6431</v>
      </c>
      <c r="Q54" s="9">
        <v>3229</v>
      </c>
      <c r="R54" s="9">
        <v>3203</v>
      </c>
    </row>
    <row r="55" spans="1:18" ht="17.45" customHeight="1" x14ac:dyDescent="0.25">
      <c r="A55" s="8">
        <v>1990</v>
      </c>
      <c r="B55" s="8" t="s">
        <v>23</v>
      </c>
      <c r="C55" s="9">
        <v>973314</v>
      </c>
      <c r="D55" s="9">
        <v>496661</v>
      </c>
      <c r="E55" s="9">
        <v>476653</v>
      </c>
      <c r="F55" s="9">
        <v>5000</v>
      </c>
      <c r="G55" s="9">
        <v>496356</v>
      </c>
      <c r="H55" s="9">
        <v>256867</v>
      </c>
      <c r="I55" s="9">
        <v>239489</v>
      </c>
      <c r="J55" s="9">
        <v>468758</v>
      </c>
      <c r="K55" s="9">
        <v>242346</v>
      </c>
      <c r="L55" s="9">
        <v>226412</v>
      </c>
      <c r="M55" s="14">
        <f t="shared" si="0"/>
        <v>1.0588747285379663</v>
      </c>
      <c r="N55" s="14">
        <f t="shared" si="1"/>
        <v>1.0599184636841541</v>
      </c>
      <c r="O55" s="14">
        <f t="shared" si="2"/>
        <v>1.0577575393530378</v>
      </c>
      <c r="P55" s="9">
        <v>7501</v>
      </c>
      <c r="Q55" s="9">
        <v>3780</v>
      </c>
      <c r="R55" s="9">
        <v>3722</v>
      </c>
    </row>
    <row r="56" spans="1:18" ht="17.45" customHeight="1" x14ac:dyDescent="0.25">
      <c r="A56" s="8">
        <v>2000</v>
      </c>
      <c r="B56" s="8" t="s">
        <v>23</v>
      </c>
      <c r="C56" s="9">
        <v>1076347</v>
      </c>
      <c r="D56" s="9">
        <v>542681</v>
      </c>
      <c r="E56" s="9">
        <v>533666</v>
      </c>
      <c r="F56" s="9">
        <v>10000</v>
      </c>
      <c r="G56" s="9">
        <v>585282</v>
      </c>
      <c r="H56" s="9">
        <v>297222</v>
      </c>
      <c r="I56" s="9">
        <v>288060</v>
      </c>
      <c r="J56" s="9">
        <v>577595</v>
      </c>
      <c r="K56" s="9">
        <v>293161</v>
      </c>
      <c r="L56" s="9">
        <v>284434</v>
      </c>
      <c r="M56" s="14">
        <f t="shared" si="0"/>
        <v>1.0133086332118526</v>
      </c>
      <c r="N56" s="14">
        <f t="shared" si="1"/>
        <v>1.013852456500012</v>
      </c>
      <c r="O56" s="14">
        <f t="shared" si="2"/>
        <v>1.0127481243451908</v>
      </c>
      <c r="P56" s="9">
        <v>7878</v>
      </c>
      <c r="Q56" s="9">
        <v>4066</v>
      </c>
      <c r="R56" s="9">
        <v>3812</v>
      </c>
    </row>
    <row r="57" spans="1:18" ht="17.45" customHeight="1" x14ac:dyDescent="0.25">
      <c r="A57" s="2">
        <v>2000</v>
      </c>
      <c r="B57" s="2" t="s">
        <v>24</v>
      </c>
      <c r="C57" s="3">
        <v>184178</v>
      </c>
      <c r="D57" s="3">
        <v>87211</v>
      </c>
      <c r="E57" s="3">
        <v>96967</v>
      </c>
      <c r="F57" s="3">
        <v>5000</v>
      </c>
      <c r="G57" s="3">
        <v>42330</v>
      </c>
      <c r="H57" s="3">
        <v>20546</v>
      </c>
      <c r="I57" s="3">
        <v>21784</v>
      </c>
      <c r="J57" s="3">
        <v>48002</v>
      </c>
      <c r="K57" s="3">
        <v>23483</v>
      </c>
      <c r="L57" s="3">
        <v>24519</v>
      </c>
      <c r="M57" s="13">
        <f t="shared" si="0"/>
        <v>0.8818382567393025</v>
      </c>
      <c r="N57" s="13">
        <f t="shared" si="1"/>
        <v>0.87493080100498233</v>
      </c>
      <c r="O57" s="13">
        <f t="shared" si="2"/>
        <v>0.88845385211468653</v>
      </c>
      <c r="P57" s="3">
        <v>742</v>
      </c>
      <c r="Q57" s="3">
        <v>399</v>
      </c>
      <c r="R57" s="3">
        <v>343</v>
      </c>
    </row>
    <row r="58" spans="1:18" ht="17.45" customHeight="1" x14ac:dyDescent="0.25">
      <c r="A58" s="8">
        <v>2000</v>
      </c>
      <c r="B58" s="8" t="s">
        <v>25</v>
      </c>
      <c r="C58" s="9">
        <v>456734</v>
      </c>
      <c r="D58" s="9">
        <v>230711</v>
      </c>
      <c r="E58" s="9">
        <v>226023</v>
      </c>
      <c r="F58" s="9">
        <v>5000</v>
      </c>
      <c r="G58" s="9">
        <v>311143</v>
      </c>
      <c r="H58" s="9">
        <v>157780</v>
      </c>
      <c r="I58" s="9">
        <v>153363</v>
      </c>
      <c r="J58" s="9">
        <v>304166</v>
      </c>
      <c r="K58" s="9">
        <v>153919</v>
      </c>
      <c r="L58" s="9">
        <v>150247</v>
      </c>
      <c r="M58" s="14">
        <f t="shared" si="0"/>
        <v>1.0229381324671396</v>
      </c>
      <c r="N58" s="14">
        <f t="shared" si="1"/>
        <v>1.0250846224312788</v>
      </c>
      <c r="O58" s="14">
        <f t="shared" si="2"/>
        <v>1.0207391828123025</v>
      </c>
      <c r="P58" s="9">
        <v>8156</v>
      </c>
      <c r="Q58" s="9">
        <v>4183</v>
      </c>
      <c r="R58" s="9">
        <v>3973</v>
      </c>
    </row>
    <row r="59" spans="1:18" ht="17.45" customHeight="1" x14ac:dyDescent="0.25">
      <c r="A59" s="2">
        <v>1990</v>
      </c>
      <c r="B59" s="2" t="s">
        <v>26</v>
      </c>
      <c r="C59" s="3">
        <v>107330</v>
      </c>
      <c r="D59" s="3">
        <v>52607</v>
      </c>
      <c r="E59" s="3">
        <v>54723</v>
      </c>
      <c r="F59" s="3">
        <v>5000</v>
      </c>
      <c r="G59" s="3">
        <v>38843</v>
      </c>
      <c r="H59" s="3">
        <v>20929</v>
      </c>
      <c r="I59" s="3">
        <v>17914</v>
      </c>
      <c r="J59" s="3">
        <v>41295</v>
      </c>
      <c r="K59" s="3">
        <v>22204</v>
      </c>
      <c r="L59" s="3">
        <v>19091</v>
      </c>
      <c r="M59" s="13">
        <f t="shared" si="0"/>
        <v>0.94062235137425843</v>
      </c>
      <c r="N59" s="13">
        <f t="shared" si="1"/>
        <v>0.94257791388938927</v>
      </c>
      <c r="O59" s="13">
        <f t="shared" si="2"/>
        <v>0.93834791262898753</v>
      </c>
      <c r="P59" s="3">
        <v>734</v>
      </c>
      <c r="Q59" s="3">
        <v>387</v>
      </c>
      <c r="R59" s="3">
        <v>346</v>
      </c>
    </row>
    <row r="60" spans="1:18" ht="17.45" customHeight="1" x14ac:dyDescent="0.25">
      <c r="A60" s="2">
        <v>2000</v>
      </c>
      <c r="B60" s="2" t="s">
        <v>26</v>
      </c>
      <c r="C60" s="3">
        <v>97358</v>
      </c>
      <c r="D60" s="3">
        <v>49035</v>
      </c>
      <c r="E60" s="3">
        <v>48323</v>
      </c>
      <c r="F60" s="3">
        <v>5000</v>
      </c>
      <c r="G60" s="3">
        <v>39295</v>
      </c>
      <c r="H60" s="3">
        <v>20864</v>
      </c>
      <c r="I60" s="3">
        <v>18431</v>
      </c>
      <c r="J60" s="3">
        <v>41356</v>
      </c>
      <c r="K60" s="3">
        <v>21945</v>
      </c>
      <c r="L60" s="3">
        <v>19411</v>
      </c>
      <c r="M60" s="13">
        <f t="shared" si="0"/>
        <v>0.95016442595995743</v>
      </c>
      <c r="N60" s="13">
        <f t="shared" si="1"/>
        <v>0.95074048758259289</v>
      </c>
      <c r="O60" s="13">
        <f t="shared" si="2"/>
        <v>0.94951316263974039</v>
      </c>
      <c r="P60" s="3">
        <v>923</v>
      </c>
      <c r="Q60" s="3">
        <v>476</v>
      </c>
      <c r="R60" s="3">
        <v>447</v>
      </c>
    </row>
    <row r="61" spans="1:18" ht="17.45" customHeight="1" x14ac:dyDescent="0.25">
      <c r="A61" s="8">
        <v>1975</v>
      </c>
      <c r="B61" s="8" t="s">
        <v>27</v>
      </c>
      <c r="C61" s="9">
        <v>137120</v>
      </c>
      <c r="D61" s="9">
        <v>68686</v>
      </c>
      <c r="E61" s="9">
        <v>68434</v>
      </c>
      <c r="F61" s="9">
        <v>2000</v>
      </c>
      <c r="G61" s="9">
        <v>49392</v>
      </c>
      <c r="H61" s="9">
        <v>26183</v>
      </c>
      <c r="I61" s="9">
        <v>23209</v>
      </c>
      <c r="J61" s="9">
        <v>47219</v>
      </c>
      <c r="K61" s="9">
        <v>25086</v>
      </c>
      <c r="L61" s="9">
        <v>22133</v>
      </c>
      <c r="M61" s="14">
        <f t="shared" si="0"/>
        <v>1.04601961074991</v>
      </c>
      <c r="N61" s="14">
        <f t="shared" si="1"/>
        <v>1.0437295702782428</v>
      </c>
      <c r="O61" s="14">
        <f t="shared" si="2"/>
        <v>1.0486151899878011</v>
      </c>
      <c r="P61" s="9">
        <v>853</v>
      </c>
      <c r="Q61" s="9">
        <v>420</v>
      </c>
      <c r="R61" s="9">
        <v>433</v>
      </c>
    </row>
    <row r="62" spans="1:18" ht="17.45" customHeight="1" x14ac:dyDescent="0.25">
      <c r="A62" s="8">
        <v>1980</v>
      </c>
      <c r="B62" s="8" t="s">
        <v>27</v>
      </c>
      <c r="C62" s="9">
        <v>147001</v>
      </c>
      <c r="D62" s="9">
        <v>74592</v>
      </c>
      <c r="E62" s="9">
        <v>72409</v>
      </c>
      <c r="F62" s="9">
        <v>5000</v>
      </c>
      <c r="G62" s="9">
        <v>56981</v>
      </c>
      <c r="H62" s="9">
        <v>30702</v>
      </c>
      <c r="I62" s="9">
        <v>26279</v>
      </c>
      <c r="J62" s="9">
        <v>56981</v>
      </c>
      <c r="K62" s="9">
        <v>30702</v>
      </c>
      <c r="L62" s="9">
        <v>26279</v>
      </c>
      <c r="M62" s="14">
        <f t="shared" si="0"/>
        <v>1</v>
      </c>
      <c r="N62" s="14">
        <f t="shared" si="1"/>
        <v>1</v>
      </c>
      <c r="O62" s="14">
        <f t="shared" si="2"/>
        <v>1</v>
      </c>
      <c r="P62" s="9">
        <v>1135</v>
      </c>
      <c r="Q62" s="9">
        <v>563</v>
      </c>
      <c r="R62" s="9">
        <v>572</v>
      </c>
    </row>
    <row r="63" spans="1:18" ht="17.45" customHeight="1" x14ac:dyDescent="0.25">
      <c r="A63" s="8">
        <v>1985</v>
      </c>
      <c r="B63" s="8" t="s">
        <v>27</v>
      </c>
      <c r="C63" s="9">
        <v>160909</v>
      </c>
      <c r="D63" s="9">
        <v>83868</v>
      </c>
      <c r="E63" s="9">
        <v>77041</v>
      </c>
      <c r="F63" s="9">
        <v>5000</v>
      </c>
      <c r="G63" s="9">
        <v>71521</v>
      </c>
      <c r="H63" s="9">
        <v>39952</v>
      </c>
      <c r="I63" s="9">
        <v>31569</v>
      </c>
      <c r="J63" s="9">
        <v>71521</v>
      </c>
      <c r="K63" s="9">
        <v>39952</v>
      </c>
      <c r="L63" s="9">
        <v>31569</v>
      </c>
      <c r="M63" s="14">
        <f t="shared" si="0"/>
        <v>1</v>
      </c>
      <c r="N63" s="14">
        <f t="shared" si="1"/>
        <v>1</v>
      </c>
      <c r="O63" s="14">
        <f t="shared" si="2"/>
        <v>1</v>
      </c>
      <c r="P63" s="9">
        <v>1165</v>
      </c>
      <c r="Q63" s="9">
        <v>613</v>
      </c>
      <c r="R63" s="9">
        <v>552</v>
      </c>
    </row>
    <row r="64" spans="1:18" ht="17.45" customHeight="1" x14ac:dyDescent="0.25">
      <c r="A64" s="8">
        <v>1990</v>
      </c>
      <c r="B64" s="8" t="s">
        <v>27</v>
      </c>
      <c r="C64" s="9">
        <v>175526</v>
      </c>
      <c r="D64" s="9">
        <v>90978</v>
      </c>
      <c r="E64" s="9">
        <v>84548</v>
      </c>
      <c r="F64" s="9">
        <v>5000</v>
      </c>
      <c r="G64" s="9">
        <v>87138</v>
      </c>
      <c r="H64" s="9">
        <v>47473</v>
      </c>
      <c r="I64" s="9">
        <v>39665</v>
      </c>
      <c r="J64" s="9">
        <v>90373</v>
      </c>
      <c r="K64" s="9">
        <v>49092</v>
      </c>
      <c r="L64" s="9">
        <v>41281</v>
      </c>
      <c r="M64" s="14">
        <f t="shared" si="0"/>
        <v>0.96420391045998255</v>
      </c>
      <c r="N64" s="14">
        <f t="shared" si="1"/>
        <v>0.96702110323474288</v>
      </c>
      <c r="O64" s="14">
        <f t="shared" si="2"/>
        <v>0.96085366149075846</v>
      </c>
      <c r="P64" s="9">
        <v>1538</v>
      </c>
      <c r="Q64" s="9">
        <v>846</v>
      </c>
      <c r="R64" s="9">
        <v>692</v>
      </c>
    </row>
    <row r="65" spans="1:18" ht="17.45" customHeight="1" x14ac:dyDescent="0.25">
      <c r="A65" s="8">
        <v>2000</v>
      </c>
      <c r="B65" s="8" t="s">
        <v>27</v>
      </c>
      <c r="C65" s="9">
        <v>194326</v>
      </c>
      <c r="D65" s="9">
        <v>101919</v>
      </c>
      <c r="E65" s="9">
        <v>92407</v>
      </c>
      <c r="F65" s="9">
        <v>5000</v>
      </c>
      <c r="G65" s="9">
        <v>120693</v>
      </c>
      <c r="H65" s="9">
        <v>65198</v>
      </c>
      <c r="I65" s="9">
        <v>55495</v>
      </c>
      <c r="J65" s="9">
        <v>124380</v>
      </c>
      <c r="K65" s="9">
        <v>67104</v>
      </c>
      <c r="L65" s="9">
        <v>57276</v>
      </c>
      <c r="M65" s="14">
        <f t="shared" si="0"/>
        <v>0.97035697057404724</v>
      </c>
      <c r="N65" s="14">
        <f t="shared" si="1"/>
        <v>0.97159632808774443</v>
      </c>
      <c r="O65" s="14">
        <f t="shared" si="2"/>
        <v>0.96890495146309097</v>
      </c>
      <c r="P65" s="9">
        <v>1863</v>
      </c>
      <c r="Q65" s="9">
        <v>983</v>
      </c>
      <c r="R65" s="9">
        <v>880</v>
      </c>
    </row>
    <row r="66" spans="1:18" ht="17.45" customHeight="1" x14ac:dyDescent="0.25">
      <c r="A66" s="2">
        <v>1975</v>
      </c>
      <c r="B66" s="2" t="s">
        <v>28</v>
      </c>
      <c r="C66" s="3">
        <v>210804</v>
      </c>
      <c r="D66" s="3">
        <v>110954</v>
      </c>
      <c r="E66" s="3">
        <v>99850</v>
      </c>
      <c r="F66" s="3">
        <v>2000</v>
      </c>
      <c r="G66" s="3">
        <v>42330</v>
      </c>
      <c r="H66" s="3">
        <v>24711</v>
      </c>
      <c r="I66" s="3">
        <v>17619</v>
      </c>
      <c r="J66" s="3">
        <v>45961</v>
      </c>
      <c r="K66" s="3">
        <v>26735</v>
      </c>
      <c r="L66" s="3">
        <v>19226</v>
      </c>
      <c r="M66" s="13">
        <f t="shared" si="0"/>
        <v>0.92099823763625688</v>
      </c>
      <c r="N66" s="13">
        <f t="shared" si="1"/>
        <v>0.92429399663362632</v>
      </c>
      <c r="O66" s="13">
        <f t="shared" si="2"/>
        <v>0.91641527098720488</v>
      </c>
      <c r="P66" s="3">
        <v>2537</v>
      </c>
      <c r="Q66" s="3">
        <v>1254</v>
      </c>
      <c r="R66" s="3">
        <v>1285</v>
      </c>
    </row>
    <row r="67" spans="1:18" ht="17.45" customHeight="1" x14ac:dyDescent="0.25">
      <c r="A67" s="2">
        <v>1985</v>
      </c>
      <c r="B67" s="2" t="s">
        <v>28</v>
      </c>
      <c r="C67" s="3">
        <v>241548</v>
      </c>
      <c r="D67" s="3">
        <v>120075</v>
      </c>
      <c r="E67" s="3">
        <v>121473</v>
      </c>
      <c r="F67" s="3">
        <v>5000</v>
      </c>
      <c r="G67" s="3">
        <v>57108</v>
      </c>
      <c r="H67" s="3">
        <v>30592</v>
      </c>
      <c r="I67" s="3">
        <v>26516</v>
      </c>
      <c r="J67" s="3">
        <v>61199</v>
      </c>
      <c r="K67" s="3">
        <v>32845</v>
      </c>
      <c r="L67" s="3">
        <v>28354</v>
      </c>
      <c r="M67" s="13">
        <f t="shared" ref="M67:M130" si="3">G67/J67</f>
        <v>0.93315250249187076</v>
      </c>
      <c r="N67" s="13">
        <f t="shared" ref="N67:N130" si="4">H67/K67</f>
        <v>0.9314050844877455</v>
      </c>
      <c r="O67" s="13">
        <f t="shared" ref="O67:O130" si="5">I67/L67</f>
        <v>0.93517669464625808</v>
      </c>
      <c r="P67" s="3">
        <v>1118</v>
      </c>
      <c r="Q67" s="3">
        <v>602</v>
      </c>
      <c r="R67" s="3">
        <v>515</v>
      </c>
    </row>
    <row r="68" spans="1:18" ht="17.45" customHeight="1" x14ac:dyDescent="0.25">
      <c r="A68" s="2">
        <v>1990</v>
      </c>
      <c r="B68" s="2" t="s">
        <v>28</v>
      </c>
      <c r="C68" s="3">
        <v>250966</v>
      </c>
      <c r="D68" s="3">
        <v>124710</v>
      </c>
      <c r="E68" s="3">
        <v>126256</v>
      </c>
      <c r="F68" s="3">
        <v>2000</v>
      </c>
      <c r="G68" s="3">
        <v>94537</v>
      </c>
      <c r="H68" s="3">
        <v>49890</v>
      </c>
      <c r="I68" s="3">
        <v>44647</v>
      </c>
      <c r="J68" s="3">
        <v>86648</v>
      </c>
      <c r="K68" s="3">
        <v>45999</v>
      </c>
      <c r="L68" s="3">
        <v>40649</v>
      </c>
      <c r="M68" s="13">
        <f t="shared" si="3"/>
        <v>1.0910465330994368</v>
      </c>
      <c r="N68" s="13">
        <f t="shared" si="4"/>
        <v>1.0845887954085958</v>
      </c>
      <c r="O68" s="13">
        <f t="shared" si="5"/>
        <v>1.0983542030554256</v>
      </c>
      <c r="P68" s="3">
        <v>2033</v>
      </c>
      <c r="Q68" s="3">
        <v>1034</v>
      </c>
      <c r="R68" s="3">
        <v>999</v>
      </c>
    </row>
    <row r="69" spans="1:18" ht="17.45" customHeight="1" x14ac:dyDescent="0.25">
      <c r="A69" s="2">
        <v>2000</v>
      </c>
      <c r="B69" s="2" t="s">
        <v>28</v>
      </c>
      <c r="C69" s="3">
        <v>253739</v>
      </c>
      <c r="D69" s="3">
        <v>131440</v>
      </c>
      <c r="E69" s="3">
        <v>122299</v>
      </c>
      <c r="F69" s="3">
        <v>5000</v>
      </c>
      <c r="G69" s="3">
        <v>110307</v>
      </c>
      <c r="H69" s="3">
        <v>57988</v>
      </c>
      <c r="I69" s="3">
        <v>52319</v>
      </c>
      <c r="J69" s="3">
        <v>123470</v>
      </c>
      <c r="K69" s="3">
        <v>66573</v>
      </c>
      <c r="L69" s="3">
        <v>56897</v>
      </c>
      <c r="M69" s="13">
        <f t="shared" si="3"/>
        <v>0.8933911071515348</v>
      </c>
      <c r="N69" s="13">
        <f t="shared" si="4"/>
        <v>0.87104381656227003</v>
      </c>
      <c r="O69" s="13">
        <f t="shared" si="5"/>
        <v>0.91953881575478491</v>
      </c>
      <c r="P69" s="3">
        <v>2647</v>
      </c>
      <c r="Q69" s="3">
        <v>1411</v>
      </c>
      <c r="R69" s="3">
        <v>1235</v>
      </c>
    </row>
    <row r="70" spans="1:18" ht="17.45" customHeight="1" x14ac:dyDescent="0.25">
      <c r="A70" s="8">
        <v>1975</v>
      </c>
      <c r="B70" s="8" t="s">
        <v>29</v>
      </c>
      <c r="C70" s="9">
        <v>218305</v>
      </c>
      <c r="D70" s="9">
        <v>115955</v>
      </c>
      <c r="E70" s="9">
        <v>102350</v>
      </c>
      <c r="F70" s="9">
        <v>5000</v>
      </c>
      <c r="G70" s="9">
        <v>71342</v>
      </c>
      <c r="H70" s="9">
        <v>39943</v>
      </c>
      <c r="I70" s="9">
        <v>31399</v>
      </c>
      <c r="J70" s="9">
        <v>76702</v>
      </c>
      <c r="K70" s="9">
        <v>43159</v>
      </c>
      <c r="L70" s="9">
        <v>33543</v>
      </c>
      <c r="M70" s="14">
        <f t="shared" si="3"/>
        <v>0.93011916247294724</v>
      </c>
      <c r="N70" s="14">
        <f t="shared" si="4"/>
        <v>0.92548483514446578</v>
      </c>
      <c r="O70" s="14">
        <f t="shared" si="5"/>
        <v>0.93608204394359484</v>
      </c>
      <c r="P70" s="9">
        <v>1416</v>
      </c>
      <c r="Q70" s="9">
        <v>763</v>
      </c>
      <c r="R70" s="9">
        <v>653</v>
      </c>
    </row>
    <row r="71" spans="1:18" ht="17.45" customHeight="1" x14ac:dyDescent="0.25">
      <c r="A71" s="8">
        <v>1980</v>
      </c>
      <c r="B71" s="8" t="s">
        <v>29</v>
      </c>
      <c r="C71" s="9">
        <v>257908</v>
      </c>
      <c r="D71" s="9">
        <v>135116</v>
      </c>
      <c r="E71" s="9">
        <v>122792</v>
      </c>
      <c r="F71" s="9">
        <v>5000</v>
      </c>
      <c r="G71" s="9">
        <v>95122</v>
      </c>
      <c r="H71" s="9">
        <v>51968</v>
      </c>
      <c r="I71" s="9">
        <v>43154</v>
      </c>
      <c r="J71" s="9">
        <v>93757</v>
      </c>
      <c r="K71" s="9">
        <v>51401</v>
      </c>
      <c r="L71" s="9">
        <v>42356</v>
      </c>
      <c r="M71" s="14">
        <f t="shared" si="3"/>
        <v>1.014558912934501</v>
      </c>
      <c r="N71" s="14">
        <f t="shared" si="4"/>
        <v>1.0110309137954514</v>
      </c>
      <c r="O71" s="14">
        <f t="shared" si="5"/>
        <v>1.0188403059779017</v>
      </c>
      <c r="P71" s="9">
        <v>2387</v>
      </c>
      <c r="Q71" s="9">
        <v>1227</v>
      </c>
      <c r="R71" s="9">
        <v>1159</v>
      </c>
    </row>
    <row r="72" spans="1:18" ht="17.45" customHeight="1" x14ac:dyDescent="0.25">
      <c r="A72" s="8">
        <v>1985</v>
      </c>
      <c r="B72" s="8" t="s">
        <v>29</v>
      </c>
      <c r="C72" s="9">
        <v>300843</v>
      </c>
      <c r="D72" s="9">
        <v>156224</v>
      </c>
      <c r="E72" s="9">
        <v>144619</v>
      </c>
      <c r="F72" s="9">
        <v>5000</v>
      </c>
      <c r="G72" s="9">
        <v>120579</v>
      </c>
      <c r="H72" s="9">
        <v>65726</v>
      </c>
      <c r="I72" s="9">
        <v>54853</v>
      </c>
      <c r="J72" s="9">
        <v>119626</v>
      </c>
      <c r="K72" s="9">
        <v>65669</v>
      </c>
      <c r="L72" s="9">
        <v>53957</v>
      </c>
      <c r="M72" s="14">
        <f t="shared" si="3"/>
        <v>1.0079664955778844</v>
      </c>
      <c r="N72" s="14">
        <f t="shared" si="4"/>
        <v>1.0008679894623034</v>
      </c>
      <c r="O72" s="14">
        <f t="shared" si="5"/>
        <v>1.0166058157421651</v>
      </c>
      <c r="P72" s="9">
        <v>2500</v>
      </c>
      <c r="Q72" s="9">
        <v>1349</v>
      </c>
      <c r="R72" s="9">
        <v>1151</v>
      </c>
    </row>
    <row r="73" spans="1:18" ht="17.45" customHeight="1" x14ac:dyDescent="0.25">
      <c r="A73" s="8">
        <v>1990</v>
      </c>
      <c r="B73" s="8" t="s">
        <v>29</v>
      </c>
      <c r="C73" s="9">
        <v>330115</v>
      </c>
      <c r="D73" s="9">
        <v>170982</v>
      </c>
      <c r="E73" s="9">
        <v>159133</v>
      </c>
      <c r="F73" s="9">
        <v>5000</v>
      </c>
      <c r="G73" s="9">
        <v>135659</v>
      </c>
      <c r="H73" s="9">
        <v>73935</v>
      </c>
      <c r="I73" s="9">
        <v>61724</v>
      </c>
      <c r="J73" s="9">
        <v>142947</v>
      </c>
      <c r="K73" s="9">
        <v>78164</v>
      </c>
      <c r="L73" s="9">
        <v>64783</v>
      </c>
      <c r="M73" s="14">
        <f t="shared" si="3"/>
        <v>0.94901606889266654</v>
      </c>
      <c r="N73" s="14">
        <f t="shared" si="4"/>
        <v>0.94589580881224089</v>
      </c>
      <c r="O73" s="14">
        <f t="shared" si="5"/>
        <v>0.95278082212926229</v>
      </c>
      <c r="P73" s="9">
        <v>3306</v>
      </c>
      <c r="Q73" s="9">
        <v>1778</v>
      </c>
      <c r="R73" s="9">
        <v>1527</v>
      </c>
    </row>
    <row r="74" spans="1:18" ht="17.45" customHeight="1" x14ac:dyDescent="0.25">
      <c r="A74" s="8">
        <v>2000</v>
      </c>
      <c r="B74" s="8" t="s">
        <v>29</v>
      </c>
      <c r="C74" s="9">
        <v>388678</v>
      </c>
      <c r="D74" s="9">
        <v>205820</v>
      </c>
      <c r="E74" s="9">
        <v>182858</v>
      </c>
      <c r="F74" s="9">
        <v>10000</v>
      </c>
      <c r="G74" s="9">
        <v>215220</v>
      </c>
      <c r="H74" s="9">
        <v>117218</v>
      </c>
      <c r="I74" s="9">
        <v>98002</v>
      </c>
      <c r="J74" s="9">
        <v>219511</v>
      </c>
      <c r="K74" s="9">
        <v>119958</v>
      </c>
      <c r="L74" s="9">
        <v>99553</v>
      </c>
      <c r="M74" s="14">
        <f t="shared" si="3"/>
        <v>0.98045200468313665</v>
      </c>
      <c r="N74" s="14">
        <f t="shared" si="4"/>
        <v>0.97715867220193731</v>
      </c>
      <c r="O74" s="14">
        <f t="shared" si="5"/>
        <v>0.98442035900475122</v>
      </c>
      <c r="P74" s="9">
        <v>4981</v>
      </c>
      <c r="Q74" s="9">
        <v>2643</v>
      </c>
      <c r="R74" s="9">
        <v>2337</v>
      </c>
    </row>
    <row r="75" spans="1:18" ht="17.45" customHeight="1" x14ac:dyDescent="0.25">
      <c r="A75" s="2">
        <v>1975</v>
      </c>
      <c r="B75" s="2" t="s">
        <v>30</v>
      </c>
      <c r="C75" s="3">
        <v>428704</v>
      </c>
      <c r="D75" s="3">
        <v>215800</v>
      </c>
      <c r="E75" s="3">
        <v>212904</v>
      </c>
      <c r="F75" s="3">
        <v>5000</v>
      </c>
      <c r="G75" s="3">
        <v>87550</v>
      </c>
      <c r="H75" s="3">
        <v>48571</v>
      </c>
      <c r="I75" s="3">
        <v>38979</v>
      </c>
      <c r="J75" s="3">
        <v>96780</v>
      </c>
      <c r="K75" s="3">
        <v>52879</v>
      </c>
      <c r="L75" s="3">
        <v>43901</v>
      </c>
      <c r="M75" s="13">
        <f t="shared" si="3"/>
        <v>0.90462905558999795</v>
      </c>
      <c r="N75" s="13">
        <f t="shared" si="4"/>
        <v>0.9185309858355869</v>
      </c>
      <c r="O75" s="13">
        <f t="shared" si="5"/>
        <v>0.88788410286781627</v>
      </c>
      <c r="P75" s="3">
        <v>3846</v>
      </c>
      <c r="Q75" s="3">
        <v>1680</v>
      </c>
      <c r="R75" s="3">
        <v>2180</v>
      </c>
    </row>
    <row r="76" spans="1:18" ht="17.45" customHeight="1" x14ac:dyDescent="0.25">
      <c r="A76" s="2">
        <v>1980</v>
      </c>
      <c r="B76" s="2" t="s">
        <v>30</v>
      </c>
      <c r="C76" s="3">
        <v>471751</v>
      </c>
      <c r="D76" s="3">
        <v>234368</v>
      </c>
      <c r="E76" s="3">
        <v>237383</v>
      </c>
      <c r="F76" s="3">
        <v>5000</v>
      </c>
      <c r="G76" s="3">
        <v>95665</v>
      </c>
      <c r="H76" s="3">
        <v>50736</v>
      </c>
      <c r="I76" s="3">
        <v>44929</v>
      </c>
      <c r="J76" s="3">
        <v>113569</v>
      </c>
      <c r="K76" s="3">
        <v>60463</v>
      </c>
      <c r="L76" s="3">
        <v>53106</v>
      </c>
      <c r="M76" s="13">
        <f t="shared" si="3"/>
        <v>0.84235134587783633</v>
      </c>
      <c r="N76" s="13">
        <f t="shared" si="4"/>
        <v>0.839124753981774</v>
      </c>
      <c r="O76" s="13">
        <f t="shared" si="5"/>
        <v>0.84602493126953637</v>
      </c>
      <c r="P76" s="3">
        <v>2522</v>
      </c>
      <c r="Q76" s="3">
        <v>1317</v>
      </c>
      <c r="R76" s="3">
        <v>1204</v>
      </c>
    </row>
    <row r="77" spans="1:18" ht="17.45" customHeight="1" x14ac:dyDescent="0.25">
      <c r="A77" s="2">
        <v>1985</v>
      </c>
      <c r="B77" s="2" t="s">
        <v>30</v>
      </c>
      <c r="C77" s="3">
        <v>504778</v>
      </c>
      <c r="D77" s="3">
        <v>250806</v>
      </c>
      <c r="E77" s="3">
        <v>253972</v>
      </c>
      <c r="F77" s="3">
        <v>5000</v>
      </c>
      <c r="G77" s="3">
        <v>131433</v>
      </c>
      <c r="H77" s="3">
        <v>69678</v>
      </c>
      <c r="I77" s="3">
        <v>61755</v>
      </c>
      <c r="J77" s="3">
        <v>143787</v>
      </c>
      <c r="K77" s="3">
        <v>76865</v>
      </c>
      <c r="L77" s="3">
        <v>66922</v>
      </c>
      <c r="M77" s="13">
        <f t="shared" si="3"/>
        <v>0.91408124517515488</v>
      </c>
      <c r="N77" s="13">
        <f t="shared" si="4"/>
        <v>0.90649840629675404</v>
      </c>
      <c r="O77" s="13">
        <f t="shared" si="5"/>
        <v>0.92279071157466896</v>
      </c>
      <c r="P77" s="3">
        <v>2549</v>
      </c>
      <c r="Q77" s="3">
        <v>1340</v>
      </c>
      <c r="R77" s="3">
        <v>1208</v>
      </c>
    </row>
    <row r="78" spans="1:18" ht="17.45" customHeight="1" x14ac:dyDescent="0.25">
      <c r="A78" s="2">
        <v>1990</v>
      </c>
      <c r="B78" s="2" t="s">
        <v>30</v>
      </c>
      <c r="C78" s="3">
        <v>536869</v>
      </c>
      <c r="D78" s="3">
        <v>268870</v>
      </c>
      <c r="E78" s="3">
        <v>267999</v>
      </c>
      <c r="F78" s="3">
        <v>5000</v>
      </c>
      <c r="G78" s="3">
        <v>181719</v>
      </c>
      <c r="H78" s="3">
        <v>96295</v>
      </c>
      <c r="I78" s="3">
        <v>85424</v>
      </c>
      <c r="J78" s="3">
        <v>203122</v>
      </c>
      <c r="K78" s="3">
        <v>107499</v>
      </c>
      <c r="L78" s="3">
        <v>95623</v>
      </c>
      <c r="M78" s="13">
        <f t="shared" si="3"/>
        <v>0.89462982837900373</v>
      </c>
      <c r="N78" s="13">
        <f t="shared" si="4"/>
        <v>0.89577577465836888</v>
      </c>
      <c r="O78" s="13">
        <f t="shared" si="5"/>
        <v>0.89334156008491683</v>
      </c>
      <c r="P78" s="3">
        <v>3263</v>
      </c>
      <c r="Q78" s="3">
        <v>1666</v>
      </c>
      <c r="R78" s="3">
        <v>1597</v>
      </c>
    </row>
    <row r="79" spans="1:18" ht="17.45" customHeight="1" x14ac:dyDescent="0.25">
      <c r="A79" s="2">
        <v>2000</v>
      </c>
      <c r="B79" s="2" t="s">
        <v>30</v>
      </c>
      <c r="C79" s="3">
        <v>270654</v>
      </c>
      <c r="D79" s="3">
        <v>137153</v>
      </c>
      <c r="E79" s="3">
        <v>133501</v>
      </c>
      <c r="F79" s="3">
        <v>2000</v>
      </c>
      <c r="G79" s="3">
        <v>153389</v>
      </c>
      <c r="H79" s="3">
        <v>81581</v>
      </c>
      <c r="I79" s="3">
        <v>71808</v>
      </c>
      <c r="J79" s="3">
        <v>142685</v>
      </c>
      <c r="K79" s="3">
        <v>76166</v>
      </c>
      <c r="L79" s="3">
        <v>66519</v>
      </c>
      <c r="M79" s="13">
        <f t="shared" si="3"/>
        <v>1.075018397168588</v>
      </c>
      <c r="N79" s="13">
        <f t="shared" si="4"/>
        <v>1.0710947141769294</v>
      </c>
      <c r="O79" s="13">
        <f t="shared" si="5"/>
        <v>1.0795111171244307</v>
      </c>
      <c r="P79" s="3">
        <v>1849</v>
      </c>
      <c r="Q79" s="3">
        <v>943</v>
      </c>
      <c r="R79" s="3">
        <v>906</v>
      </c>
    </row>
    <row r="80" spans="1:18" ht="17.45" customHeight="1" x14ac:dyDescent="0.25">
      <c r="A80" s="8">
        <v>1975</v>
      </c>
      <c r="B80" s="8" t="s">
        <v>31</v>
      </c>
      <c r="C80" s="9">
        <v>222896</v>
      </c>
      <c r="D80" s="9">
        <v>112161</v>
      </c>
      <c r="E80" s="9">
        <v>110735</v>
      </c>
      <c r="F80" s="9">
        <v>5000</v>
      </c>
      <c r="G80" s="9">
        <v>64722</v>
      </c>
      <c r="H80" s="9">
        <v>34276</v>
      </c>
      <c r="I80" s="9">
        <v>30446</v>
      </c>
      <c r="J80" s="9">
        <v>71071</v>
      </c>
      <c r="K80" s="9">
        <v>37686</v>
      </c>
      <c r="L80" s="9">
        <v>33385</v>
      </c>
      <c r="M80" s="14">
        <f t="shared" si="3"/>
        <v>0.91066679799074168</v>
      </c>
      <c r="N80" s="14">
        <f t="shared" si="4"/>
        <v>0.90951546993578514</v>
      </c>
      <c r="O80" s="14">
        <f t="shared" si="5"/>
        <v>0.91196645199940096</v>
      </c>
      <c r="P80" s="9">
        <v>1672</v>
      </c>
      <c r="Q80" s="9">
        <v>838</v>
      </c>
      <c r="R80" s="9">
        <v>834</v>
      </c>
    </row>
    <row r="81" spans="1:18" ht="17.45" customHeight="1" x14ac:dyDescent="0.25">
      <c r="A81" s="8">
        <v>1980</v>
      </c>
      <c r="B81" s="8" t="s">
        <v>31</v>
      </c>
      <c r="C81" s="9">
        <v>235009</v>
      </c>
      <c r="D81" s="9">
        <v>117430</v>
      </c>
      <c r="E81" s="9">
        <v>117579</v>
      </c>
      <c r="F81" s="9">
        <v>5000</v>
      </c>
      <c r="G81" s="9">
        <v>76883</v>
      </c>
      <c r="H81" s="9">
        <v>41053</v>
      </c>
      <c r="I81" s="9">
        <v>35830</v>
      </c>
      <c r="J81" s="9">
        <v>84983</v>
      </c>
      <c r="K81" s="9">
        <v>45192</v>
      </c>
      <c r="L81" s="9">
        <v>39791</v>
      </c>
      <c r="M81" s="14">
        <f t="shared" si="3"/>
        <v>0.90468681971688458</v>
      </c>
      <c r="N81" s="14">
        <f t="shared" si="4"/>
        <v>0.90841299345016813</v>
      </c>
      <c r="O81" s="14">
        <f t="shared" si="5"/>
        <v>0.90045487673091906</v>
      </c>
      <c r="P81" s="9">
        <v>1897</v>
      </c>
      <c r="Q81" s="9">
        <v>950</v>
      </c>
      <c r="R81" s="9">
        <v>947</v>
      </c>
    </row>
    <row r="82" spans="1:18" ht="17.45" customHeight="1" x14ac:dyDescent="0.25">
      <c r="A82" s="8">
        <v>1985</v>
      </c>
      <c r="B82" s="8" t="s">
        <v>31</v>
      </c>
      <c r="C82" s="9">
        <v>248002</v>
      </c>
      <c r="D82" s="9">
        <v>125457</v>
      </c>
      <c r="E82" s="9">
        <v>122545</v>
      </c>
      <c r="F82" s="9">
        <v>5000</v>
      </c>
      <c r="G82" s="9">
        <v>100519</v>
      </c>
      <c r="H82" s="9">
        <v>54281</v>
      </c>
      <c r="I82" s="9">
        <v>46238</v>
      </c>
      <c r="J82" s="9">
        <v>98907</v>
      </c>
      <c r="K82" s="9">
        <v>53371</v>
      </c>
      <c r="L82" s="9">
        <v>45536</v>
      </c>
      <c r="M82" s="14">
        <f t="shared" si="3"/>
        <v>1.0162981386555046</v>
      </c>
      <c r="N82" s="14">
        <f t="shared" si="4"/>
        <v>1.017050458113957</v>
      </c>
      <c r="O82" s="14">
        <f t="shared" si="5"/>
        <v>1.0154163738580464</v>
      </c>
      <c r="P82" s="9">
        <v>1530</v>
      </c>
      <c r="Q82" s="9">
        <v>781</v>
      </c>
      <c r="R82" s="9">
        <v>749</v>
      </c>
    </row>
    <row r="83" spans="1:18" ht="17.45" customHeight="1" x14ac:dyDescent="0.25">
      <c r="A83" s="8">
        <v>1990</v>
      </c>
      <c r="B83" s="8" t="s">
        <v>31</v>
      </c>
      <c r="C83" s="9">
        <v>254899</v>
      </c>
      <c r="D83" s="9">
        <v>129742</v>
      </c>
      <c r="E83" s="9">
        <v>125157</v>
      </c>
      <c r="F83" s="9">
        <v>5000</v>
      </c>
      <c r="G83" s="9">
        <v>115885</v>
      </c>
      <c r="H83" s="9">
        <v>62322</v>
      </c>
      <c r="I83" s="9">
        <v>53563</v>
      </c>
      <c r="J83" s="9">
        <v>129112</v>
      </c>
      <c r="K83" s="9">
        <v>69094</v>
      </c>
      <c r="L83" s="9">
        <v>60018</v>
      </c>
      <c r="M83" s="14">
        <f t="shared" si="3"/>
        <v>0.89755406158993745</v>
      </c>
      <c r="N83" s="14">
        <f t="shared" si="4"/>
        <v>0.90198859524705477</v>
      </c>
      <c r="O83" s="14">
        <f t="shared" si="5"/>
        <v>0.89244893198707054</v>
      </c>
      <c r="P83" s="9">
        <v>2001</v>
      </c>
      <c r="Q83" s="9">
        <v>1028</v>
      </c>
      <c r="R83" s="9">
        <v>974</v>
      </c>
    </row>
    <row r="84" spans="1:18" ht="17.45" customHeight="1" x14ac:dyDescent="0.25">
      <c r="A84" s="8">
        <v>2000</v>
      </c>
      <c r="B84" s="8" t="s">
        <v>31</v>
      </c>
      <c r="C84" s="9">
        <v>256803</v>
      </c>
      <c r="D84" s="9">
        <v>129007</v>
      </c>
      <c r="E84" s="9">
        <v>127796</v>
      </c>
      <c r="F84" s="9">
        <v>2000</v>
      </c>
      <c r="G84" s="9">
        <v>161989</v>
      </c>
      <c r="H84" s="9">
        <v>83059</v>
      </c>
      <c r="I84" s="9">
        <v>78930</v>
      </c>
      <c r="J84" s="9">
        <v>139897</v>
      </c>
      <c r="K84" s="9">
        <v>72026</v>
      </c>
      <c r="L84" s="9">
        <v>67871</v>
      </c>
      <c r="M84" s="14">
        <f t="shared" si="3"/>
        <v>1.1579161811904473</v>
      </c>
      <c r="N84" s="14">
        <f t="shared" si="4"/>
        <v>1.1531807958237303</v>
      </c>
      <c r="O84" s="14">
        <f t="shared" si="5"/>
        <v>1.1629414624802934</v>
      </c>
      <c r="P84" s="9">
        <v>2115</v>
      </c>
      <c r="Q84" s="9">
        <v>1109</v>
      </c>
      <c r="R84" s="9">
        <v>1006</v>
      </c>
    </row>
    <row r="85" spans="1:18" ht="17.45" customHeight="1" x14ac:dyDescent="0.25">
      <c r="A85" s="2">
        <v>1970</v>
      </c>
      <c r="B85" s="2" t="s">
        <v>32</v>
      </c>
      <c r="C85" s="3">
        <v>847884</v>
      </c>
      <c r="D85" s="3">
        <v>423941</v>
      </c>
      <c r="E85" s="3">
        <v>423943</v>
      </c>
      <c r="F85" s="3">
        <v>2000</v>
      </c>
      <c r="G85" s="3">
        <v>394937</v>
      </c>
      <c r="H85" s="3">
        <v>200462</v>
      </c>
      <c r="I85" s="3">
        <v>194475</v>
      </c>
      <c r="J85" s="3">
        <v>416662</v>
      </c>
      <c r="K85" s="3">
        <v>212058</v>
      </c>
      <c r="L85" s="3">
        <v>204604</v>
      </c>
      <c r="M85" s="13">
        <f t="shared" si="3"/>
        <v>0.94785941602545953</v>
      </c>
      <c r="N85" s="13">
        <f t="shared" si="4"/>
        <v>0.94531684727763154</v>
      </c>
      <c r="O85" s="13">
        <f t="shared" si="5"/>
        <v>0.95049461398604129</v>
      </c>
      <c r="P85" s="3">
        <v>8899</v>
      </c>
      <c r="Q85" s="3">
        <v>4444</v>
      </c>
      <c r="R85" s="3">
        <v>4455</v>
      </c>
    </row>
    <row r="86" spans="1:18" ht="17.45" customHeight="1" x14ac:dyDescent="0.25">
      <c r="A86" s="2">
        <v>1975</v>
      </c>
      <c r="B86" s="2" t="s">
        <v>32</v>
      </c>
      <c r="C86" s="3">
        <v>961639</v>
      </c>
      <c r="D86" s="3">
        <v>490506</v>
      </c>
      <c r="E86" s="3">
        <v>471133</v>
      </c>
      <c r="F86" s="3">
        <v>5000</v>
      </c>
      <c r="G86" s="3">
        <v>520510</v>
      </c>
      <c r="H86" s="3">
        <v>268782</v>
      </c>
      <c r="I86" s="3">
        <v>251728</v>
      </c>
      <c r="J86" s="3">
        <v>507106</v>
      </c>
      <c r="K86" s="3">
        <v>262091</v>
      </c>
      <c r="L86" s="3">
        <v>245015</v>
      </c>
      <c r="M86" s="13">
        <f t="shared" si="3"/>
        <v>1.0264323435336991</v>
      </c>
      <c r="N86" s="13">
        <f t="shared" si="4"/>
        <v>1.025529300891675</v>
      </c>
      <c r="O86" s="13">
        <f t="shared" si="5"/>
        <v>1.0273983225516805</v>
      </c>
      <c r="P86" s="3">
        <v>12717</v>
      </c>
      <c r="Q86" s="3">
        <v>6618</v>
      </c>
      <c r="R86" s="3">
        <v>6099</v>
      </c>
    </row>
    <row r="87" spans="1:18" ht="17.45" customHeight="1" x14ac:dyDescent="0.25">
      <c r="A87" s="2">
        <v>1980</v>
      </c>
      <c r="B87" s="2" t="s">
        <v>32</v>
      </c>
      <c r="C87" s="3">
        <v>1148492</v>
      </c>
      <c r="D87" s="3">
        <v>579747</v>
      </c>
      <c r="E87" s="3">
        <v>568745</v>
      </c>
      <c r="F87" s="3">
        <v>10000</v>
      </c>
      <c r="G87" s="3">
        <v>653048</v>
      </c>
      <c r="H87" s="3">
        <v>332799</v>
      </c>
      <c r="I87" s="3">
        <v>320249</v>
      </c>
      <c r="J87" s="3">
        <v>636910</v>
      </c>
      <c r="K87" s="3">
        <v>324509</v>
      </c>
      <c r="L87" s="3">
        <v>312401</v>
      </c>
      <c r="M87" s="13">
        <f t="shared" si="3"/>
        <v>1.0253379598373396</v>
      </c>
      <c r="N87" s="13">
        <f t="shared" si="4"/>
        <v>1.0255462868518284</v>
      </c>
      <c r="O87" s="13">
        <f t="shared" si="5"/>
        <v>1.025121558509736</v>
      </c>
      <c r="P87" s="3">
        <v>14188</v>
      </c>
      <c r="Q87" s="3">
        <v>7288</v>
      </c>
      <c r="R87" s="3">
        <v>6900</v>
      </c>
    </row>
    <row r="88" spans="1:18" ht="17.45" customHeight="1" x14ac:dyDescent="0.25">
      <c r="A88" s="2">
        <v>1985</v>
      </c>
      <c r="B88" s="2" t="s">
        <v>32</v>
      </c>
      <c r="C88" s="3">
        <v>1324015</v>
      </c>
      <c r="D88" s="3">
        <v>669134</v>
      </c>
      <c r="E88" s="3">
        <v>654881</v>
      </c>
      <c r="F88" s="3">
        <v>10000</v>
      </c>
      <c r="G88" s="3">
        <v>854038</v>
      </c>
      <c r="H88" s="3">
        <v>434465</v>
      </c>
      <c r="I88" s="3">
        <v>419573</v>
      </c>
      <c r="J88" s="3">
        <v>840094</v>
      </c>
      <c r="K88" s="3">
        <v>427722</v>
      </c>
      <c r="L88" s="3">
        <v>412372</v>
      </c>
      <c r="M88" s="13">
        <f t="shared" si="3"/>
        <v>1.0165981425888055</v>
      </c>
      <c r="N88" s="13">
        <f t="shared" si="4"/>
        <v>1.015764912723685</v>
      </c>
      <c r="O88" s="13">
        <f t="shared" si="5"/>
        <v>1.0174623883289846</v>
      </c>
      <c r="P88" s="3">
        <v>14851</v>
      </c>
      <c r="Q88" s="3">
        <v>7608</v>
      </c>
      <c r="R88" s="3">
        <v>7244</v>
      </c>
    </row>
    <row r="89" spans="1:18" ht="17.45" customHeight="1" x14ac:dyDescent="0.25">
      <c r="A89" s="2">
        <v>1990</v>
      </c>
      <c r="B89" s="2" t="s">
        <v>32</v>
      </c>
      <c r="C89" s="3">
        <v>1603137</v>
      </c>
      <c r="D89" s="3">
        <v>810923</v>
      </c>
      <c r="E89" s="3">
        <v>792214</v>
      </c>
      <c r="F89" s="3">
        <v>5000</v>
      </c>
      <c r="G89" s="3">
        <v>1169321</v>
      </c>
      <c r="H89" s="3">
        <v>595095</v>
      </c>
      <c r="I89" s="3">
        <v>574226</v>
      </c>
      <c r="J89" s="3">
        <v>1157805</v>
      </c>
      <c r="K89" s="3">
        <v>588468</v>
      </c>
      <c r="L89" s="3">
        <v>569337</v>
      </c>
      <c r="M89" s="13">
        <f t="shared" si="3"/>
        <v>1.0099464072101951</v>
      </c>
      <c r="N89" s="13">
        <f t="shared" si="4"/>
        <v>1.0112614449723689</v>
      </c>
      <c r="O89" s="13">
        <f t="shared" si="5"/>
        <v>1.0085871812300975</v>
      </c>
      <c r="P89" s="3">
        <v>21287</v>
      </c>
      <c r="Q89" s="3">
        <v>10829</v>
      </c>
      <c r="R89" s="3">
        <v>10458</v>
      </c>
    </row>
    <row r="90" spans="1:18" ht="17.45" customHeight="1" x14ac:dyDescent="0.25">
      <c r="A90" s="2">
        <v>2000</v>
      </c>
      <c r="B90" s="2" t="s">
        <v>32</v>
      </c>
      <c r="C90" s="3">
        <v>2125140</v>
      </c>
      <c r="D90" s="3">
        <v>1064560</v>
      </c>
      <c r="E90" s="3">
        <v>1060580</v>
      </c>
      <c r="F90" s="3">
        <v>10000</v>
      </c>
      <c r="G90" s="3">
        <v>1674774</v>
      </c>
      <c r="H90" s="3">
        <v>838783</v>
      </c>
      <c r="I90" s="3">
        <v>835991</v>
      </c>
      <c r="J90" s="3">
        <v>1630940</v>
      </c>
      <c r="K90" s="3">
        <v>816582</v>
      </c>
      <c r="L90" s="3">
        <v>814358</v>
      </c>
      <c r="M90" s="13">
        <f t="shared" si="3"/>
        <v>1.0268765251940599</v>
      </c>
      <c r="N90" s="13">
        <f t="shared" si="4"/>
        <v>1.0271877166040888</v>
      </c>
      <c r="O90" s="13">
        <f t="shared" si="5"/>
        <v>1.0265644839247603</v>
      </c>
      <c r="P90" s="3">
        <v>26504</v>
      </c>
      <c r="Q90" s="3">
        <v>13716</v>
      </c>
      <c r="R90" s="3">
        <v>12787</v>
      </c>
    </row>
    <row r="91" spans="1:18" ht="17.45" customHeight="1" x14ac:dyDescent="0.25">
      <c r="A91" s="8">
        <v>1975</v>
      </c>
      <c r="B91" s="8" t="s">
        <v>33</v>
      </c>
      <c r="C91" s="9">
        <v>369385</v>
      </c>
      <c r="D91" s="9">
        <v>193590</v>
      </c>
      <c r="E91" s="9">
        <v>175795</v>
      </c>
      <c r="F91" s="9">
        <v>5000</v>
      </c>
      <c r="G91" s="9">
        <v>86983</v>
      </c>
      <c r="H91" s="9">
        <v>48391</v>
      </c>
      <c r="I91" s="9">
        <v>38592</v>
      </c>
      <c r="J91" s="9">
        <v>107825</v>
      </c>
      <c r="K91" s="9">
        <v>60954</v>
      </c>
      <c r="L91" s="9">
        <v>46871</v>
      </c>
      <c r="M91" s="14">
        <f t="shared" si="3"/>
        <v>0.80670530952932995</v>
      </c>
      <c r="N91" s="14">
        <f t="shared" si="4"/>
        <v>0.79389375594710765</v>
      </c>
      <c r="O91" s="14">
        <f t="shared" si="5"/>
        <v>0.82336626058757012</v>
      </c>
      <c r="P91" s="9">
        <v>2498</v>
      </c>
      <c r="Q91" s="9">
        <v>1309</v>
      </c>
      <c r="R91" s="9">
        <v>1185</v>
      </c>
    </row>
    <row r="92" spans="1:18" ht="17.45" customHeight="1" x14ac:dyDescent="0.25">
      <c r="A92" s="8">
        <v>1980</v>
      </c>
      <c r="B92" s="8" t="s">
        <v>33</v>
      </c>
      <c r="C92" s="9">
        <v>391568</v>
      </c>
      <c r="D92" s="9">
        <v>204583</v>
      </c>
      <c r="E92" s="9">
        <v>186985</v>
      </c>
      <c r="F92" s="9">
        <v>5000</v>
      </c>
      <c r="G92" s="9">
        <v>103407</v>
      </c>
      <c r="H92" s="9">
        <v>60080</v>
      </c>
      <c r="I92" s="9">
        <v>46327</v>
      </c>
      <c r="J92" s="9">
        <v>126703</v>
      </c>
      <c r="K92" s="9">
        <v>70451</v>
      </c>
      <c r="L92" s="9">
        <v>56252</v>
      </c>
      <c r="M92" s="14">
        <f t="shared" si="3"/>
        <v>0.81613695019060317</v>
      </c>
      <c r="N92" s="14">
        <f t="shared" si="4"/>
        <v>0.85279130175583029</v>
      </c>
      <c r="O92" s="14">
        <f t="shared" si="5"/>
        <v>0.82356182891274976</v>
      </c>
      <c r="P92" s="9">
        <v>2296</v>
      </c>
      <c r="Q92" s="9">
        <v>1143</v>
      </c>
      <c r="R92" s="9">
        <v>1092</v>
      </c>
    </row>
    <row r="93" spans="1:18" ht="17.45" customHeight="1" x14ac:dyDescent="0.25">
      <c r="A93" s="8">
        <v>1985</v>
      </c>
      <c r="B93" s="8" t="s">
        <v>33</v>
      </c>
      <c r="C93" s="9">
        <v>417121</v>
      </c>
      <c r="D93" s="9">
        <v>218895</v>
      </c>
      <c r="E93" s="9">
        <v>198226</v>
      </c>
      <c r="F93" s="9">
        <v>5000</v>
      </c>
      <c r="G93" s="9">
        <v>137599</v>
      </c>
      <c r="H93" s="9">
        <v>75911</v>
      </c>
      <c r="I93" s="9">
        <v>61688</v>
      </c>
      <c r="J93" s="9">
        <v>148108</v>
      </c>
      <c r="K93" s="9">
        <v>81653</v>
      </c>
      <c r="L93" s="9">
        <v>66455</v>
      </c>
      <c r="M93" s="14">
        <f t="shared" si="3"/>
        <v>0.92904502120074539</v>
      </c>
      <c r="N93" s="14">
        <f t="shared" si="4"/>
        <v>0.92967802775158292</v>
      </c>
      <c r="O93" s="14">
        <f t="shared" si="5"/>
        <v>0.92826724851403208</v>
      </c>
      <c r="P93" s="9">
        <v>2119</v>
      </c>
      <c r="Q93" s="9">
        <v>1071</v>
      </c>
      <c r="R93" s="9">
        <v>1048</v>
      </c>
    </row>
    <row r="94" spans="1:18" ht="17.45" customHeight="1" x14ac:dyDescent="0.25">
      <c r="A94" s="8">
        <v>1990</v>
      </c>
      <c r="B94" s="8" t="s">
        <v>33</v>
      </c>
      <c r="C94" s="9">
        <v>432263</v>
      </c>
      <c r="D94" s="9">
        <v>225099</v>
      </c>
      <c r="E94" s="9">
        <v>207164</v>
      </c>
      <c r="F94" s="9">
        <v>5000</v>
      </c>
      <c r="G94" s="9">
        <v>162571</v>
      </c>
      <c r="H94" s="9">
        <v>88362</v>
      </c>
      <c r="I94" s="9">
        <v>74209</v>
      </c>
      <c r="J94" s="9">
        <v>168529</v>
      </c>
      <c r="K94" s="9">
        <v>91612</v>
      </c>
      <c r="L94" s="9">
        <v>76917</v>
      </c>
      <c r="M94" s="14">
        <f t="shared" si="3"/>
        <v>0.964647034041619</v>
      </c>
      <c r="N94" s="14">
        <f t="shared" si="4"/>
        <v>0.9645242981268829</v>
      </c>
      <c r="O94" s="14">
        <f t="shared" si="5"/>
        <v>0.96479321866427448</v>
      </c>
      <c r="P94" s="9">
        <v>2559</v>
      </c>
      <c r="Q94" s="9">
        <v>1312</v>
      </c>
      <c r="R94" s="9">
        <v>1248</v>
      </c>
    </row>
    <row r="95" spans="1:18" ht="17.45" customHeight="1" x14ac:dyDescent="0.25">
      <c r="A95" s="8">
        <v>2000</v>
      </c>
      <c r="B95" s="8" t="s">
        <v>33</v>
      </c>
      <c r="C95" s="9">
        <v>464975</v>
      </c>
      <c r="D95" s="9">
        <v>242539</v>
      </c>
      <c r="E95" s="9">
        <v>222436</v>
      </c>
      <c r="F95" s="9">
        <v>5000</v>
      </c>
      <c r="G95" s="9">
        <v>227780</v>
      </c>
      <c r="H95" s="9">
        <v>122380</v>
      </c>
      <c r="I95" s="9">
        <v>105400</v>
      </c>
      <c r="J95" s="9">
        <v>215571</v>
      </c>
      <c r="K95" s="9">
        <v>113805</v>
      </c>
      <c r="L95" s="9">
        <v>101766</v>
      </c>
      <c r="M95" s="14">
        <f t="shared" si="3"/>
        <v>1.0566356328077524</v>
      </c>
      <c r="N95" s="14">
        <f t="shared" si="4"/>
        <v>1.0753481832959888</v>
      </c>
      <c r="O95" s="14">
        <f t="shared" si="5"/>
        <v>1.0357093724819684</v>
      </c>
      <c r="P95" s="9">
        <v>2661</v>
      </c>
      <c r="Q95" s="9">
        <v>1347</v>
      </c>
      <c r="R95" s="9">
        <v>1316</v>
      </c>
    </row>
    <row r="96" spans="1:18" ht="17.45" customHeight="1" x14ac:dyDescent="0.25">
      <c r="A96" s="2">
        <v>1980</v>
      </c>
      <c r="B96" s="2" t="s">
        <v>34</v>
      </c>
      <c r="C96" s="3">
        <v>258436</v>
      </c>
      <c r="D96" s="3">
        <v>125798</v>
      </c>
      <c r="E96" s="3">
        <v>132638</v>
      </c>
      <c r="F96" s="3">
        <v>5000</v>
      </c>
      <c r="G96" s="3">
        <v>57352</v>
      </c>
      <c r="H96" s="3">
        <v>30672</v>
      </c>
      <c r="I96" s="3">
        <v>26680</v>
      </c>
      <c r="J96" s="3">
        <v>69325</v>
      </c>
      <c r="K96" s="3">
        <v>36460</v>
      </c>
      <c r="L96" s="3">
        <v>32865</v>
      </c>
      <c r="M96" s="13">
        <f t="shared" si="3"/>
        <v>0.82729174179588894</v>
      </c>
      <c r="N96" s="13">
        <f t="shared" si="4"/>
        <v>0.84125068568294026</v>
      </c>
      <c r="O96" s="13">
        <f t="shared" si="5"/>
        <v>0.81180587250874792</v>
      </c>
      <c r="P96" s="3">
        <v>1371</v>
      </c>
      <c r="Q96" s="3">
        <v>687</v>
      </c>
      <c r="R96" s="3">
        <v>685</v>
      </c>
    </row>
    <row r="97" spans="1:18" ht="17.45" customHeight="1" x14ac:dyDescent="0.25">
      <c r="A97" s="2">
        <v>1985</v>
      </c>
      <c r="B97" s="2" t="s">
        <v>34</v>
      </c>
      <c r="C97" s="3">
        <v>263964</v>
      </c>
      <c r="D97" s="3">
        <v>129903</v>
      </c>
      <c r="E97" s="3">
        <v>134061</v>
      </c>
      <c r="F97" s="3">
        <v>5000</v>
      </c>
      <c r="G97" s="3">
        <v>74531</v>
      </c>
      <c r="H97" s="3">
        <v>40692</v>
      </c>
      <c r="I97" s="3">
        <v>33839</v>
      </c>
      <c r="J97" s="3">
        <v>84494</v>
      </c>
      <c r="K97" s="3">
        <v>45688</v>
      </c>
      <c r="L97" s="3">
        <v>38806</v>
      </c>
      <c r="M97" s="13">
        <f t="shared" si="3"/>
        <v>0.88208630198593985</v>
      </c>
      <c r="N97" s="13">
        <f t="shared" si="4"/>
        <v>0.89064962353353183</v>
      </c>
      <c r="O97" s="13">
        <f t="shared" si="5"/>
        <v>0.87200432922743909</v>
      </c>
      <c r="P97" s="3">
        <v>1241</v>
      </c>
      <c r="Q97" s="3">
        <v>635</v>
      </c>
      <c r="R97" s="3">
        <v>607</v>
      </c>
    </row>
    <row r="98" spans="1:18" ht="17.45" customHeight="1" x14ac:dyDescent="0.25">
      <c r="A98" s="2">
        <v>1990</v>
      </c>
      <c r="B98" s="2" t="s">
        <v>34</v>
      </c>
      <c r="C98" s="3">
        <v>279129</v>
      </c>
      <c r="D98" s="3">
        <v>139025</v>
      </c>
      <c r="E98" s="3">
        <v>140104</v>
      </c>
      <c r="F98" s="3">
        <v>5000</v>
      </c>
      <c r="G98" s="3">
        <v>93238</v>
      </c>
      <c r="H98" s="3">
        <v>50289</v>
      </c>
      <c r="I98" s="3">
        <v>42949</v>
      </c>
      <c r="J98" s="3">
        <v>113855</v>
      </c>
      <c r="K98" s="3">
        <v>60885</v>
      </c>
      <c r="L98" s="3">
        <v>52970</v>
      </c>
      <c r="M98" s="13">
        <f t="shared" si="3"/>
        <v>0.81891880022836061</v>
      </c>
      <c r="N98" s="13">
        <f t="shared" si="4"/>
        <v>0.82596698694259674</v>
      </c>
      <c r="O98" s="13">
        <f t="shared" si="5"/>
        <v>0.81081744383613363</v>
      </c>
      <c r="P98" s="3">
        <v>1733</v>
      </c>
      <c r="Q98" s="3">
        <v>895</v>
      </c>
      <c r="R98" s="3">
        <v>839</v>
      </c>
    </row>
    <row r="99" spans="1:18" ht="17.45" customHeight="1" x14ac:dyDescent="0.25">
      <c r="A99" s="2">
        <v>2000</v>
      </c>
      <c r="B99" s="2" t="s">
        <v>34</v>
      </c>
      <c r="C99" s="3">
        <v>270355</v>
      </c>
      <c r="D99" s="3">
        <v>140353</v>
      </c>
      <c r="E99" s="3">
        <v>130002</v>
      </c>
      <c r="F99" s="3">
        <v>5000</v>
      </c>
      <c r="G99" s="3">
        <v>135481</v>
      </c>
      <c r="H99" s="3">
        <v>72775</v>
      </c>
      <c r="I99" s="3">
        <v>62706</v>
      </c>
      <c r="J99" s="3">
        <v>141186</v>
      </c>
      <c r="K99" s="3">
        <v>76063</v>
      </c>
      <c r="L99" s="3">
        <v>65123</v>
      </c>
      <c r="M99" s="13">
        <f t="shared" si="3"/>
        <v>0.95959231085235075</v>
      </c>
      <c r="N99" s="13">
        <f t="shared" si="4"/>
        <v>0.95677267528233179</v>
      </c>
      <c r="O99" s="13">
        <f t="shared" si="5"/>
        <v>0.96288561644887372</v>
      </c>
      <c r="P99" s="3">
        <v>2150</v>
      </c>
      <c r="Q99" s="3">
        <v>1110</v>
      </c>
      <c r="R99" s="3">
        <v>1040</v>
      </c>
    </row>
    <row r="100" spans="1:18" ht="17.45" customHeight="1" x14ac:dyDescent="0.25">
      <c r="A100" s="8">
        <v>1975</v>
      </c>
      <c r="B100" s="8" t="s">
        <v>35</v>
      </c>
      <c r="C100" s="9">
        <v>547580</v>
      </c>
      <c r="D100" s="9">
        <v>274050</v>
      </c>
      <c r="E100" s="9">
        <v>273530</v>
      </c>
      <c r="F100" s="9">
        <v>5000</v>
      </c>
      <c r="G100" s="9">
        <v>143665</v>
      </c>
      <c r="H100" s="9">
        <v>75360</v>
      </c>
      <c r="I100" s="9">
        <v>68305</v>
      </c>
      <c r="J100" s="9">
        <v>145969</v>
      </c>
      <c r="K100" s="9">
        <v>76504</v>
      </c>
      <c r="L100" s="9">
        <v>69465</v>
      </c>
      <c r="M100" s="14">
        <f t="shared" si="3"/>
        <v>0.9842158266481239</v>
      </c>
      <c r="N100" s="14">
        <f t="shared" si="4"/>
        <v>0.98504653351458749</v>
      </c>
      <c r="O100" s="14">
        <f t="shared" si="5"/>
        <v>0.98330094292089543</v>
      </c>
      <c r="P100" s="9">
        <v>3981</v>
      </c>
      <c r="Q100" s="9">
        <v>2095</v>
      </c>
      <c r="R100" s="9">
        <v>1885</v>
      </c>
    </row>
    <row r="101" spans="1:18" ht="17.45" customHeight="1" x14ac:dyDescent="0.25">
      <c r="A101" s="8">
        <v>1980</v>
      </c>
      <c r="B101" s="8" t="s">
        <v>35</v>
      </c>
      <c r="C101" s="9">
        <v>571831</v>
      </c>
      <c r="D101" s="9">
        <v>279521</v>
      </c>
      <c r="E101" s="9">
        <v>292310</v>
      </c>
      <c r="F101" s="9">
        <v>5000</v>
      </c>
      <c r="G101" s="9">
        <v>164561</v>
      </c>
      <c r="H101" s="9">
        <v>84249</v>
      </c>
      <c r="I101" s="9">
        <v>80312</v>
      </c>
      <c r="J101" s="9">
        <v>167273</v>
      </c>
      <c r="K101" s="9">
        <v>85624</v>
      </c>
      <c r="L101" s="9">
        <v>81649</v>
      </c>
      <c r="M101" s="14">
        <f t="shared" si="3"/>
        <v>0.98378698295600608</v>
      </c>
      <c r="N101" s="14">
        <f t="shared" si="4"/>
        <v>0.98394141829393633</v>
      </c>
      <c r="O101" s="14">
        <f t="shared" si="5"/>
        <v>0.98362502908792515</v>
      </c>
      <c r="P101" s="9">
        <v>3832</v>
      </c>
      <c r="Q101" s="9">
        <v>1958</v>
      </c>
      <c r="R101" s="9">
        <v>1874</v>
      </c>
    </row>
    <row r="102" spans="1:18" ht="17.45" customHeight="1" x14ac:dyDescent="0.25">
      <c r="A102" s="8">
        <v>1985</v>
      </c>
      <c r="B102" s="8" t="s">
        <v>35</v>
      </c>
      <c r="C102" s="9">
        <v>599204</v>
      </c>
      <c r="D102" s="9">
        <v>290159</v>
      </c>
      <c r="E102" s="9">
        <v>309045</v>
      </c>
      <c r="F102" s="9">
        <v>5000</v>
      </c>
      <c r="G102" s="9">
        <v>203291</v>
      </c>
      <c r="H102" s="9">
        <v>102905</v>
      </c>
      <c r="I102" s="9">
        <v>100386</v>
      </c>
      <c r="J102" s="9">
        <v>200431</v>
      </c>
      <c r="K102" s="9">
        <v>101477</v>
      </c>
      <c r="L102" s="9">
        <v>98954</v>
      </c>
      <c r="M102" s="14">
        <f t="shared" si="3"/>
        <v>1.0142692497667527</v>
      </c>
      <c r="N102" s="14">
        <f t="shared" si="4"/>
        <v>1.0140721542812656</v>
      </c>
      <c r="O102" s="14">
        <f t="shared" si="5"/>
        <v>1.0144713705358046</v>
      </c>
      <c r="P102" s="9">
        <v>3818</v>
      </c>
      <c r="Q102" s="9">
        <v>1941</v>
      </c>
      <c r="R102" s="9">
        <v>1877</v>
      </c>
    </row>
    <row r="103" spans="1:18" ht="17.45" customHeight="1" x14ac:dyDescent="0.25">
      <c r="A103" s="8">
        <v>1990</v>
      </c>
      <c r="B103" s="8" t="s">
        <v>35</v>
      </c>
      <c r="C103" s="9">
        <v>609863</v>
      </c>
      <c r="D103" s="9">
        <v>294082</v>
      </c>
      <c r="E103" s="9">
        <v>315781</v>
      </c>
      <c r="F103" s="9">
        <v>5000</v>
      </c>
      <c r="G103" s="9">
        <v>242406</v>
      </c>
      <c r="H103" s="9">
        <v>122169</v>
      </c>
      <c r="I103" s="9">
        <v>120237</v>
      </c>
      <c r="J103" s="9">
        <v>253804</v>
      </c>
      <c r="K103" s="9">
        <v>127863</v>
      </c>
      <c r="L103" s="9">
        <v>125941</v>
      </c>
      <c r="M103" s="14">
        <f t="shared" si="3"/>
        <v>0.95509133031788307</v>
      </c>
      <c r="N103" s="14">
        <f t="shared" si="4"/>
        <v>0.95546796180286708</v>
      </c>
      <c r="O103" s="14">
        <f t="shared" si="5"/>
        <v>0.95470895101674591</v>
      </c>
      <c r="P103" s="9">
        <v>4655</v>
      </c>
      <c r="Q103" s="9">
        <v>2403</v>
      </c>
      <c r="R103" s="9">
        <v>2252</v>
      </c>
    </row>
    <row r="104" spans="1:18" ht="17.45" customHeight="1" x14ac:dyDescent="0.25">
      <c r="A104" s="8">
        <v>2000</v>
      </c>
      <c r="B104" s="8" t="s">
        <v>35</v>
      </c>
      <c r="C104" s="9">
        <v>597065</v>
      </c>
      <c r="D104" s="9">
        <v>289717</v>
      </c>
      <c r="E104" s="9">
        <v>307348</v>
      </c>
      <c r="F104" s="9">
        <v>5000</v>
      </c>
      <c r="G104" s="9">
        <v>296316</v>
      </c>
      <c r="H104" s="9">
        <v>146676</v>
      </c>
      <c r="I104" s="9">
        <v>149640</v>
      </c>
      <c r="J104" s="9">
        <v>311897</v>
      </c>
      <c r="K104" s="9">
        <v>154460</v>
      </c>
      <c r="L104" s="9">
        <v>157437</v>
      </c>
      <c r="M104" s="14">
        <f t="shared" si="3"/>
        <v>0.9500444056852102</v>
      </c>
      <c r="N104" s="14">
        <f t="shared" si="4"/>
        <v>0.94960507574776643</v>
      </c>
      <c r="O104" s="14">
        <f t="shared" si="5"/>
        <v>0.95047542826654474</v>
      </c>
      <c r="P104" s="9">
        <v>5603</v>
      </c>
      <c r="Q104" s="9">
        <v>2904</v>
      </c>
      <c r="R104" s="9">
        <v>2699</v>
      </c>
    </row>
    <row r="105" spans="1:18" ht="17.45" customHeight="1" x14ac:dyDescent="0.25">
      <c r="A105" s="2">
        <v>1975</v>
      </c>
      <c r="B105" s="2" t="s">
        <v>36</v>
      </c>
      <c r="C105" s="3">
        <v>560916</v>
      </c>
      <c r="D105" s="3">
        <v>281186</v>
      </c>
      <c r="E105" s="3">
        <v>279730</v>
      </c>
      <c r="F105" s="3">
        <v>5000</v>
      </c>
      <c r="G105" s="3">
        <v>194375</v>
      </c>
      <c r="H105" s="3">
        <v>101295</v>
      </c>
      <c r="I105" s="3">
        <v>93080</v>
      </c>
      <c r="J105" s="3">
        <v>171586</v>
      </c>
      <c r="K105" s="3">
        <v>90562</v>
      </c>
      <c r="L105" s="3">
        <v>81024</v>
      </c>
      <c r="M105" s="13">
        <f t="shared" si="3"/>
        <v>1.1328138659331182</v>
      </c>
      <c r="N105" s="13">
        <f t="shared" si="4"/>
        <v>1.118515492149025</v>
      </c>
      <c r="O105" s="13">
        <f t="shared" si="5"/>
        <v>1.1487954186413902</v>
      </c>
      <c r="P105" s="3">
        <v>3857</v>
      </c>
      <c r="Q105" s="3">
        <v>1981</v>
      </c>
      <c r="R105" s="3">
        <v>1874</v>
      </c>
    </row>
    <row r="106" spans="1:18" ht="17.45" customHeight="1" x14ac:dyDescent="0.25">
      <c r="A106" s="2">
        <v>1980</v>
      </c>
      <c r="B106" s="2" t="s">
        <v>36</v>
      </c>
      <c r="C106" s="3">
        <v>603338</v>
      </c>
      <c r="D106" s="3">
        <v>298426</v>
      </c>
      <c r="E106" s="3">
        <v>304912</v>
      </c>
      <c r="F106" s="3">
        <v>5000</v>
      </c>
      <c r="G106" s="3">
        <v>227311</v>
      </c>
      <c r="H106" s="3">
        <v>117676</v>
      </c>
      <c r="I106" s="3">
        <v>109635</v>
      </c>
      <c r="J106" s="3">
        <v>205938</v>
      </c>
      <c r="K106" s="3">
        <v>107747</v>
      </c>
      <c r="L106" s="3">
        <v>98191</v>
      </c>
      <c r="M106" s="13">
        <f t="shared" si="3"/>
        <v>1.1037836630442173</v>
      </c>
      <c r="N106" s="13">
        <f t="shared" si="4"/>
        <v>1.0921510575700484</v>
      </c>
      <c r="O106" s="13">
        <f t="shared" si="5"/>
        <v>1.1165483598293122</v>
      </c>
      <c r="P106" s="3">
        <v>4826</v>
      </c>
      <c r="Q106" s="3">
        <v>2463</v>
      </c>
      <c r="R106" s="3">
        <v>2362</v>
      </c>
    </row>
    <row r="107" spans="1:18" ht="17.45" customHeight="1" x14ac:dyDescent="0.25">
      <c r="A107" s="2">
        <v>1985</v>
      </c>
      <c r="B107" s="2" t="s">
        <v>36</v>
      </c>
      <c r="C107" s="3">
        <v>667478</v>
      </c>
      <c r="D107" s="3">
        <v>335364</v>
      </c>
      <c r="E107" s="3">
        <v>332114</v>
      </c>
      <c r="F107" s="3">
        <v>10000</v>
      </c>
      <c r="G107" s="3">
        <v>228684</v>
      </c>
      <c r="H107" s="3">
        <v>119161</v>
      </c>
      <c r="I107" s="3">
        <v>109523</v>
      </c>
      <c r="J107" s="3">
        <v>248673</v>
      </c>
      <c r="K107" s="3">
        <v>130415</v>
      </c>
      <c r="L107" s="3">
        <v>118258</v>
      </c>
      <c r="M107" s="13">
        <f t="shared" si="3"/>
        <v>0.91961732878117042</v>
      </c>
      <c r="N107" s="13">
        <f t="shared" si="4"/>
        <v>0.91370624544722612</v>
      </c>
      <c r="O107" s="13">
        <f t="shared" si="5"/>
        <v>0.92613607536065212</v>
      </c>
      <c r="P107" s="3">
        <v>4568</v>
      </c>
      <c r="Q107" s="3">
        <v>2422</v>
      </c>
      <c r="R107" s="3">
        <v>2147</v>
      </c>
    </row>
    <row r="108" spans="1:18" ht="17.45" customHeight="1" x14ac:dyDescent="0.25">
      <c r="A108" s="2">
        <v>1990</v>
      </c>
      <c r="B108" s="2" t="s">
        <v>36</v>
      </c>
      <c r="C108" s="3">
        <v>750882</v>
      </c>
      <c r="D108" s="3">
        <v>379129</v>
      </c>
      <c r="E108" s="3">
        <v>371753</v>
      </c>
      <c r="F108" s="3">
        <v>5000</v>
      </c>
      <c r="G108" s="3">
        <v>356234</v>
      </c>
      <c r="H108" s="3">
        <v>184498</v>
      </c>
      <c r="I108" s="3">
        <v>171736</v>
      </c>
      <c r="J108" s="3">
        <v>337793</v>
      </c>
      <c r="K108" s="3">
        <v>175039</v>
      </c>
      <c r="L108" s="3">
        <v>162754</v>
      </c>
      <c r="M108" s="13">
        <f t="shared" si="3"/>
        <v>1.0545926055306061</v>
      </c>
      <c r="N108" s="13">
        <f t="shared" si="4"/>
        <v>1.0540393855083725</v>
      </c>
      <c r="O108" s="13">
        <f t="shared" si="5"/>
        <v>1.0551875837153004</v>
      </c>
      <c r="P108" s="3">
        <v>6134</v>
      </c>
      <c r="Q108" s="3">
        <v>3188</v>
      </c>
      <c r="R108" s="3">
        <v>2946</v>
      </c>
    </row>
    <row r="109" spans="1:18" ht="17.25" customHeight="1" x14ac:dyDescent="0.25">
      <c r="A109" s="2">
        <v>2000</v>
      </c>
      <c r="B109" s="2" t="s">
        <v>36</v>
      </c>
      <c r="C109" s="3">
        <v>850029</v>
      </c>
      <c r="D109" s="3">
        <v>426179</v>
      </c>
      <c r="E109" s="3">
        <v>423850</v>
      </c>
      <c r="F109" s="3">
        <v>10000</v>
      </c>
      <c r="G109" s="3">
        <v>396241</v>
      </c>
      <c r="H109" s="3">
        <v>199895</v>
      </c>
      <c r="I109" s="3">
        <v>196346</v>
      </c>
      <c r="J109" s="3">
        <v>413914</v>
      </c>
      <c r="K109" s="3">
        <v>208675</v>
      </c>
      <c r="L109" s="3">
        <v>205239</v>
      </c>
      <c r="M109" s="13">
        <f t="shared" si="3"/>
        <v>0.95730272472059408</v>
      </c>
      <c r="N109" s="13">
        <f t="shared" si="4"/>
        <v>0.95792500299508809</v>
      </c>
      <c r="O109" s="13">
        <f t="shared" si="5"/>
        <v>0.95667002860080197</v>
      </c>
      <c r="P109" s="3">
        <v>7186</v>
      </c>
      <c r="Q109" s="3">
        <v>3649</v>
      </c>
      <c r="R109" s="3">
        <v>3537</v>
      </c>
    </row>
    <row r="110" spans="1:18" ht="17.45" customHeight="1" x14ac:dyDescent="0.25">
      <c r="A110" s="2">
        <v>1970</v>
      </c>
      <c r="B110" s="2" t="s">
        <v>100</v>
      </c>
      <c r="C110" s="3">
        <v>581208</v>
      </c>
      <c r="D110" s="3">
        <v>302237</v>
      </c>
      <c r="E110" s="3">
        <v>278971</v>
      </c>
      <c r="F110" s="3">
        <v>10000</v>
      </c>
      <c r="G110" s="3">
        <v>186702</v>
      </c>
      <c r="H110" s="3">
        <v>102554</v>
      </c>
      <c r="I110" s="3">
        <v>84148</v>
      </c>
      <c r="J110" s="3">
        <v>238504</v>
      </c>
      <c r="K110" s="3">
        <v>129686</v>
      </c>
      <c r="L110" s="3">
        <v>108818</v>
      </c>
      <c r="M110" s="13">
        <f t="shared" si="3"/>
        <v>0.78280448126656155</v>
      </c>
      <c r="N110" s="13">
        <f t="shared" si="4"/>
        <v>0.79078697777709239</v>
      </c>
      <c r="O110" s="13">
        <f t="shared" si="5"/>
        <v>0.77329118344391556</v>
      </c>
      <c r="P110" s="3">
        <v>6645</v>
      </c>
      <c r="Q110" s="3">
        <v>3634</v>
      </c>
      <c r="R110" s="3">
        <v>3011</v>
      </c>
    </row>
    <row r="111" spans="1:18" ht="17.45" customHeight="1" x14ac:dyDescent="0.25">
      <c r="A111" s="2">
        <v>1975</v>
      </c>
      <c r="B111" s="2" t="s">
        <v>100</v>
      </c>
      <c r="C111" s="3">
        <v>651233</v>
      </c>
      <c r="D111" s="3">
        <v>343797</v>
      </c>
      <c r="E111" s="3">
        <v>307436</v>
      </c>
      <c r="F111" s="3">
        <v>2000</v>
      </c>
      <c r="G111" s="3">
        <v>292691</v>
      </c>
      <c r="H111" s="3">
        <v>161414</v>
      </c>
      <c r="I111" s="3">
        <v>131277</v>
      </c>
      <c r="J111" s="3">
        <v>281960</v>
      </c>
      <c r="K111" s="3">
        <v>155823</v>
      </c>
      <c r="L111" s="3">
        <v>126137</v>
      </c>
      <c r="M111" s="13">
        <f t="shared" si="3"/>
        <v>1.0380585898709036</v>
      </c>
      <c r="N111" s="13">
        <f t="shared" si="4"/>
        <v>1.035880454104978</v>
      </c>
      <c r="O111" s="13">
        <f t="shared" si="5"/>
        <v>1.0407493439672737</v>
      </c>
      <c r="P111" s="3">
        <v>7382</v>
      </c>
      <c r="Q111" s="3">
        <v>4112</v>
      </c>
      <c r="R111" s="3">
        <v>3270</v>
      </c>
    </row>
    <row r="112" spans="1:18" ht="17.45" customHeight="1" x14ac:dyDescent="0.25">
      <c r="A112" s="2">
        <v>1980</v>
      </c>
      <c r="B112" s="2" t="s">
        <v>100</v>
      </c>
      <c r="C112" s="3">
        <v>778150</v>
      </c>
      <c r="D112" s="3">
        <v>403603</v>
      </c>
      <c r="E112" s="3">
        <v>374547</v>
      </c>
      <c r="F112" s="3">
        <v>5000</v>
      </c>
      <c r="G112" s="3">
        <v>366154</v>
      </c>
      <c r="H112" s="3">
        <v>193294</v>
      </c>
      <c r="I112" s="3">
        <v>172860</v>
      </c>
      <c r="J112" s="3">
        <v>374264</v>
      </c>
      <c r="K112" s="3">
        <v>197468</v>
      </c>
      <c r="L112" s="3">
        <v>176796</v>
      </c>
      <c r="M112" s="13">
        <f t="shared" si="3"/>
        <v>0.97833080392450245</v>
      </c>
      <c r="N112" s="13">
        <f t="shared" si="4"/>
        <v>0.97886239795815022</v>
      </c>
      <c r="O112" s="13">
        <f t="shared" si="5"/>
        <v>0.97773705287449941</v>
      </c>
      <c r="P112" s="3">
        <v>8956</v>
      </c>
      <c r="Q112" s="3">
        <v>4633</v>
      </c>
      <c r="R112" s="3">
        <v>4323</v>
      </c>
    </row>
    <row r="113" spans="1:18" ht="17.45" customHeight="1" x14ac:dyDescent="0.25">
      <c r="A113" s="2">
        <v>1985</v>
      </c>
      <c r="B113" s="2" t="s">
        <v>100</v>
      </c>
      <c r="C113" s="3">
        <v>934505</v>
      </c>
      <c r="D113" s="3">
        <v>480703</v>
      </c>
      <c r="E113" s="3">
        <v>453802</v>
      </c>
      <c r="F113" s="3">
        <v>5000</v>
      </c>
      <c r="G113" s="3">
        <v>467784</v>
      </c>
      <c r="H113" s="3">
        <v>247348</v>
      </c>
      <c r="I113" s="3">
        <v>220436</v>
      </c>
      <c r="J113" s="3">
        <v>472055</v>
      </c>
      <c r="K113" s="3">
        <v>249531</v>
      </c>
      <c r="L113" s="3">
        <v>222524</v>
      </c>
      <c r="M113" s="13">
        <f t="shared" si="3"/>
        <v>0.99095232547054901</v>
      </c>
      <c r="N113" s="13">
        <f t="shared" si="4"/>
        <v>0.99125158797904867</v>
      </c>
      <c r="O113" s="13">
        <f t="shared" si="5"/>
        <v>0.99061674246373421</v>
      </c>
      <c r="P113" s="3">
        <v>10931</v>
      </c>
      <c r="Q113" s="3">
        <v>5716</v>
      </c>
      <c r="R113" s="3">
        <v>5215</v>
      </c>
    </row>
    <row r="114" spans="1:18" ht="17.45" customHeight="1" x14ac:dyDescent="0.25">
      <c r="A114" s="2">
        <v>1990</v>
      </c>
      <c r="B114" s="2" t="s">
        <v>100</v>
      </c>
      <c r="C114" s="3">
        <v>1094996</v>
      </c>
      <c r="D114" s="3">
        <v>559446</v>
      </c>
      <c r="E114" s="3">
        <v>535550</v>
      </c>
      <c r="F114" s="3">
        <v>5000</v>
      </c>
      <c r="G114" s="3">
        <v>592991</v>
      </c>
      <c r="H114" s="3">
        <v>310187</v>
      </c>
      <c r="I114" s="3">
        <v>282804</v>
      </c>
      <c r="J114" s="3">
        <v>600640</v>
      </c>
      <c r="K114" s="3">
        <v>314180</v>
      </c>
      <c r="L114" s="3">
        <v>286460</v>
      </c>
      <c r="M114" s="13">
        <f t="shared" si="3"/>
        <v>0.9872652503995738</v>
      </c>
      <c r="N114" s="13">
        <f t="shared" si="4"/>
        <v>0.98729072506206628</v>
      </c>
      <c r="O114" s="13">
        <f t="shared" si="5"/>
        <v>0.98723731061928366</v>
      </c>
      <c r="P114" s="3">
        <v>15715</v>
      </c>
      <c r="Q114" s="3">
        <v>8120</v>
      </c>
      <c r="R114" s="3">
        <v>7595</v>
      </c>
    </row>
    <row r="115" spans="1:18" ht="17.45" customHeight="1" x14ac:dyDescent="0.25">
      <c r="A115" s="2">
        <v>2000</v>
      </c>
      <c r="B115" s="2" t="s">
        <v>100</v>
      </c>
      <c r="C115" s="3">
        <v>1362708</v>
      </c>
      <c r="D115" s="3">
        <v>692167</v>
      </c>
      <c r="E115" s="3">
        <v>670541</v>
      </c>
      <c r="F115" s="3">
        <v>20000</v>
      </c>
      <c r="G115" s="3">
        <v>786784</v>
      </c>
      <c r="H115" s="3">
        <v>400606</v>
      </c>
      <c r="I115" s="3">
        <v>386178</v>
      </c>
      <c r="J115" s="3">
        <v>817692</v>
      </c>
      <c r="K115" s="3">
        <v>420712</v>
      </c>
      <c r="L115" s="3">
        <v>396980</v>
      </c>
      <c r="M115" s="13">
        <f t="shared" si="3"/>
        <v>0.96220092651022637</v>
      </c>
      <c r="N115" s="13">
        <f t="shared" si="4"/>
        <v>0.95220958755633311</v>
      </c>
      <c r="O115" s="13">
        <f t="shared" si="5"/>
        <v>0.97278956118696158</v>
      </c>
      <c r="P115" s="3">
        <v>21118</v>
      </c>
      <c r="Q115" s="3">
        <v>11135</v>
      </c>
      <c r="R115" s="3">
        <v>9989</v>
      </c>
    </row>
    <row r="116" spans="1:18" ht="17.45" customHeight="1" x14ac:dyDescent="0.25">
      <c r="A116" s="8">
        <v>2000</v>
      </c>
      <c r="B116" s="8" t="s">
        <v>42</v>
      </c>
      <c r="C116" s="9">
        <v>314266</v>
      </c>
      <c r="D116" s="9">
        <v>161927</v>
      </c>
      <c r="E116" s="9">
        <v>152339</v>
      </c>
      <c r="F116" s="9">
        <v>5000</v>
      </c>
      <c r="G116" s="9">
        <v>140571</v>
      </c>
      <c r="H116" s="9">
        <v>75937</v>
      </c>
      <c r="I116" s="9">
        <v>64634</v>
      </c>
      <c r="J116" s="9">
        <v>130632</v>
      </c>
      <c r="K116" s="9">
        <v>67656</v>
      </c>
      <c r="L116" s="9">
        <v>62976</v>
      </c>
      <c r="M116" s="14">
        <f t="shared" si="3"/>
        <v>1.076083961050891</v>
      </c>
      <c r="N116" s="14">
        <f t="shared" si="4"/>
        <v>1.1223986047061605</v>
      </c>
      <c r="O116" s="14">
        <f t="shared" si="5"/>
        <v>1.0263274898373984</v>
      </c>
      <c r="P116" s="9">
        <v>1899</v>
      </c>
      <c r="Q116" s="9">
        <v>924</v>
      </c>
      <c r="R116" s="9">
        <v>980</v>
      </c>
    </row>
    <row r="117" spans="1:18" ht="17.45" customHeight="1" x14ac:dyDescent="0.25">
      <c r="A117" s="2">
        <v>1975</v>
      </c>
      <c r="B117" s="2" t="s">
        <v>43</v>
      </c>
      <c r="C117" s="3">
        <v>340732</v>
      </c>
      <c r="D117" s="3">
        <v>182944</v>
      </c>
      <c r="E117" s="3">
        <v>157788</v>
      </c>
      <c r="F117" s="3">
        <v>5000</v>
      </c>
      <c r="G117" s="3">
        <v>123923</v>
      </c>
      <c r="H117" s="3">
        <v>69522</v>
      </c>
      <c r="I117" s="3">
        <v>54401</v>
      </c>
      <c r="J117" s="3">
        <v>135792</v>
      </c>
      <c r="K117" s="3">
        <v>76883</v>
      </c>
      <c r="L117" s="3">
        <v>58909</v>
      </c>
      <c r="M117" s="13">
        <f t="shared" si="3"/>
        <v>0.91259426181218339</v>
      </c>
      <c r="N117" s="13">
        <f t="shared" si="4"/>
        <v>0.90425711795845631</v>
      </c>
      <c r="O117" s="13">
        <f t="shared" si="5"/>
        <v>0.92347519054813354</v>
      </c>
      <c r="P117" s="3">
        <v>3024</v>
      </c>
      <c r="Q117" s="3">
        <v>1490</v>
      </c>
      <c r="R117" s="3">
        <v>1530</v>
      </c>
    </row>
    <row r="118" spans="1:18" ht="17.45" customHeight="1" x14ac:dyDescent="0.25">
      <c r="A118" s="2">
        <v>1980</v>
      </c>
      <c r="B118" s="2" t="s">
        <v>43</v>
      </c>
      <c r="C118" s="3">
        <v>363286</v>
      </c>
      <c r="D118" s="3">
        <v>195638</v>
      </c>
      <c r="E118" s="3">
        <v>167648</v>
      </c>
      <c r="F118" s="3">
        <v>5000</v>
      </c>
      <c r="G118" s="3">
        <v>144698</v>
      </c>
      <c r="H118" s="3">
        <v>80944</v>
      </c>
      <c r="I118" s="3">
        <v>63754</v>
      </c>
      <c r="J118" s="3">
        <v>153236</v>
      </c>
      <c r="K118" s="3">
        <v>85882</v>
      </c>
      <c r="L118" s="3">
        <v>67354</v>
      </c>
      <c r="M118" s="13">
        <f t="shared" si="3"/>
        <v>0.94428202250123994</v>
      </c>
      <c r="N118" s="13">
        <f t="shared" si="4"/>
        <v>0.94250250343494557</v>
      </c>
      <c r="O118" s="13">
        <f t="shared" si="5"/>
        <v>0.94655105858597854</v>
      </c>
      <c r="P118" s="3">
        <v>2874</v>
      </c>
      <c r="Q118" s="3">
        <v>1498</v>
      </c>
      <c r="R118" s="3">
        <v>1376</v>
      </c>
    </row>
    <row r="119" spans="1:18" ht="17.45" customHeight="1" x14ac:dyDescent="0.25">
      <c r="A119" s="2">
        <v>1985</v>
      </c>
      <c r="B119" s="2" t="s">
        <v>43</v>
      </c>
      <c r="C119" s="3">
        <v>389638</v>
      </c>
      <c r="D119" s="3">
        <v>209988</v>
      </c>
      <c r="E119" s="3">
        <v>179650</v>
      </c>
      <c r="F119" s="3">
        <v>5000</v>
      </c>
      <c r="G119" s="3">
        <v>170580</v>
      </c>
      <c r="H119" s="3">
        <v>94892</v>
      </c>
      <c r="I119" s="3">
        <v>75688</v>
      </c>
      <c r="J119" s="3">
        <v>178610</v>
      </c>
      <c r="K119" s="3">
        <v>99522</v>
      </c>
      <c r="L119" s="3">
        <v>79088</v>
      </c>
      <c r="M119" s="13">
        <f t="shared" si="3"/>
        <v>0.95504171099042612</v>
      </c>
      <c r="N119" s="13">
        <f t="shared" si="4"/>
        <v>0.95347762303812222</v>
      </c>
      <c r="O119" s="13">
        <f t="shared" si="5"/>
        <v>0.95700991300829452</v>
      </c>
      <c r="P119" s="3">
        <v>2668</v>
      </c>
      <c r="Q119" s="3">
        <v>1381</v>
      </c>
      <c r="R119" s="3">
        <v>1286</v>
      </c>
    </row>
    <row r="120" spans="1:18" ht="17.45" customHeight="1" x14ac:dyDescent="0.25">
      <c r="A120" s="2">
        <v>1990</v>
      </c>
      <c r="B120" s="2" t="s">
        <v>43</v>
      </c>
      <c r="C120" s="3">
        <v>404599</v>
      </c>
      <c r="D120" s="3">
        <v>213966</v>
      </c>
      <c r="E120" s="3">
        <v>190633</v>
      </c>
      <c r="F120" s="3">
        <v>5000</v>
      </c>
      <c r="G120" s="3">
        <v>201212</v>
      </c>
      <c r="H120" s="3">
        <v>109581</v>
      </c>
      <c r="I120" s="3">
        <v>91631</v>
      </c>
      <c r="J120" s="3">
        <v>210421</v>
      </c>
      <c r="K120" s="3">
        <v>115537</v>
      </c>
      <c r="L120" s="3">
        <v>94884</v>
      </c>
      <c r="M120" s="13">
        <f t="shared" si="3"/>
        <v>0.95623535673720783</v>
      </c>
      <c r="N120" s="13">
        <f t="shared" si="4"/>
        <v>0.94844941447328557</v>
      </c>
      <c r="O120" s="13">
        <f t="shared" si="5"/>
        <v>0.96571603220774838</v>
      </c>
      <c r="P120" s="3">
        <v>2993</v>
      </c>
      <c r="Q120" s="3">
        <v>1551</v>
      </c>
      <c r="R120" s="3">
        <v>1440</v>
      </c>
    </row>
    <row r="121" spans="1:18" ht="17.45" customHeight="1" x14ac:dyDescent="0.25">
      <c r="A121" s="2">
        <v>2000</v>
      </c>
      <c r="B121" s="2" t="s">
        <v>43</v>
      </c>
      <c r="C121" s="3">
        <v>402606</v>
      </c>
      <c r="D121" s="3">
        <v>213724</v>
      </c>
      <c r="E121" s="3">
        <v>188882</v>
      </c>
      <c r="F121" s="3">
        <v>5000</v>
      </c>
      <c r="G121" s="3">
        <v>221315</v>
      </c>
      <c r="H121" s="3">
        <v>117495</v>
      </c>
      <c r="I121" s="3">
        <v>103820</v>
      </c>
      <c r="J121" s="3">
        <v>230908</v>
      </c>
      <c r="K121" s="3">
        <v>123060</v>
      </c>
      <c r="L121" s="3">
        <v>107848</v>
      </c>
      <c r="M121" s="13">
        <f t="shared" si="3"/>
        <v>0.95845531553692376</v>
      </c>
      <c r="N121" s="13">
        <f t="shared" si="4"/>
        <v>0.95477815699658708</v>
      </c>
      <c r="O121" s="13">
        <f t="shared" si="5"/>
        <v>0.96265113863956675</v>
      </c>
      <c r="P121" s="3">
        <v>2934</v>
      </c>
      <c r="Q121" s="3">
        <v>1500</v>
      </c>
      <c r="R121" s="3">
        <v>1434</v>
      </c>
    </row>
    <row r="122" spans="1:18" ht="17.45" customHeight="1" x14ac:dyDescent="0.25">
      <c r="A122" s="8">
        <v>1975</v>
      </c>
      <c r="B122" s="8" t="s">
        <v>44</v>
      </c>
      <c r="C122" s="9">
        <v>417924</v>
      </c>
      <c r="D122" s="9">
        <v>216639</v>
      </c>
      <c r="E122" s="9">
        <v>201285</v>
      </c>
      <c r="F122" s="9">
        <v>5000</v>
      </c>
      <c r="G122" s="9">
        <v>168578</v>
      </c>
      <c r="H122" s="9">
        <v>90108</v>
      </c>
      <c r="I122" s="9">
        <v>78470</v>
      </c>
      <c r="J122" s="9">
        <v>175675</v>
      </c>
      <c r="K122" s="9">
        <v>94015</v>
      </c>
      <c r="L122" s="9">
        <v>81660</v>
      </c>
      <c r="M122" s="14">
        <f t="shared" si="3"/>
        <v>0.9596015369289882</v>
      </c>
      <c r="N122" s="14">
        <f t="shared" si="4"/>
        <v>0.95844280168058293</v>
      </c>
      <c r="O122" s="14">
        <f t="shared" si="5"/>
        <v>0.9609355865784962</v>
      </c>
      <c r="P122" s="9">
        <v>7407</v>
      </c>
      <c r="Q122" s="9">
        <v>3749</v>
      </c>
      <c r="R122" s="9">
        <v>3658</v>
      </c>
    </row>
    <row r="123" spans="1:18" ht="17.45" customHeight="1" x14ac:dyDescent="0.25">
      <c r="A123" s="8">
        <v>1980</v>
      </c>
      <c r="B123" s="8" t="s">
        <v>44</v>
      </c>
      <c r="C123" s="9">
        <v>440808</v>
      </c>
      <c r="D123" s="9">
        <v>221116</v>
      </c>
      <c r="E123" s="9">
        <v>219692</v>
      </c>
      <c r="F123" s="9">
        <v>5000</v>
      </c>
      <c r="G123" s="9">
        <v>180373</v>
      </c>
      <c r="H123" s="9">
        <v>93475</v>
      </c>
      <c r="I123" s="9">
        <v>86898</v>
      </c>
      <c r="J123" s="9">
        <v>187025</v>
      </c>
      <c r="K123" s="9">
        <v>96851</v>
      </c>
      <c r="L123" s="9">
        <v>90174</v>
      </c>
      <c r="M123" s="14">
        <f t="shared" si="3"/>
        <v>0.96443256249164555</v>
      </c>
      <c r="N123" s="14">
        <f t="shared" si="4"/>
        <v>0.96514233203580757</v>
      </c>
      <c r="O123" s="14">
        <f t="shared" si="5"/>
        <v>0.96367023754075454</v>
      </c>
      <c r="P123" s="9">
        <v>4235</v>
      </c>
      <c r="Q123" s="9">
        <v>2156</v>
      </c>
      <c r="R123" s="9">
        <v>2079</v>
      </c>
    </row>
    <row r="124" spans="1:18" ht="17.45" customHeight="1" x14ac:dyDescent="0.25">
      <c r="A124" s="8">
        <v>1985</v>
      </c>
      <c r="B124" s="8" t="s">
        <v>44</v>
      </c>
      <c r="C124" s="9">
        <v>483715</v>
      </c>
      <c r="D124" s="9">
        <v>242277</v>
      </c>
      <c r="E124" s="9">
        <v>241438</v>
      </c>
      <c r="F124" s="9">
        <v>5000</v>
      </c>
      <c r="G124" s="9">
        <v>251715</v>
      </c>
      <c r="H124" s="9">
        <v>130329</v>
      </c>
      <c r="I124" s="9">
        <v>121386</v>
      </c>
      <c r="J124" s="9">
        <v>233621</v>
      </c>
      <c r="K124" s="9">
        <v>120590</v>
      </c>
      <c r="L124" s="9">
        <v>113031</v>
      </c>
      <c r="M124" s="14">
        <f t="shared" si="3"/>
        <v>1.0774502292174077</v>
      </c>
      <c r="N124" s="14">
        <f t="shared" si="4"/>
        <v>1.0807612571523344</v>
      </c>
      <c r="O124" s="14">
        <f t="shared" si="5"/>
        <v>1.0739177747697535</v>
      </c>
      <c r="P124" s="9">
        <v>4009</v>
      </c>
      <c r="Q124" s="9">
        <v>2042</v>
      </c>
      <c r="R124" s="9">
        <v>1968</v>
      </c>
    </row>
    <row r="125" spans="1:18" ht="17.45" customHeight="1" x14ac:dyDescent="0.25">
      <c r="A125" s="8">
        <v>1990</v>
      </c>
      <c r="B125" s="8" t="s">
        <v>44</v>
      </c>
      <c r="C125" s="9">
        <v>498225</v>
      </c>
      <c r="D125" s="9">
        <v>247321</v>
      </c>
      <c r="E125" s="9">
        <v>250904</v>
      </c>
      <c r="F125" s="9">
        <v>5000</v>
      </c>
      <c r="G125" s="9">
        <v>275774</v>
      </c>
      <c r="H125" s="9">
        <v>140559</v>
      </c>
      <c r="I125" s="9">
        <v>135215</v>
      </c>
      <c r="J125" s="9">
        <v>272790</v>
      </c>
      <c r="K125" s="9">
        <v>139006</v>
      </c>
      <c r="L125" s="9">
        <v>133784</v>
      </c>
      <c r="M125" s="14">
        <f t="shared" si="3"/>
        <v>1.0109388174053302</v>
      </c>
      <c r="N125" s="14">
        <f t="shared" si="4"/>
        <v>1.0111721796181459</v>
      </c>
      <c r="O125" s="14">
        <f t="shared" si="5"/>
        <v>1.0106963463493392</v>
      </c>
      <c r="P125" s="9">
        <v>5062</v>
      </c>
      <c r="Q125" s="9">
        <v>2662</v>
      </c>
      <c r="R125" s="9">
        <v>2399</v>
      </c>
    </row>
    <row r="126" spans="1:18" ht="17.45" customHeight="1" x14ac:dyDescent="0.25">
      <c r="A126" s="8">
        <v>2000</v>
      </c>
      <c r="B126" s="8" t="s">
        <v>44</v>
      </c>
      <c r="C126" s="9">
        <v>569616</v>
      </c>
      <c r="D126" s="9">
        <v>287687</v>
      </c>
      <c r="E126" s="9">
        <v>281929</v>
      </c>
      <c r="F126" s="9">
        <v>5000</v>
      </c>
      <c r="G126" s="9">
        <v>383066</v>
      </c>
      <c r="H126" s="9">
        <v>195883</v>
      </c>
      <c r="I126" s="9">
        <v>187183</v>
      </c>
      <c r="J126" s="9">
        <v>364274</v>
      </c>
      <c r="K126" s="9">
        <v>186454</v>
      </c>
      <c r="L126" s="9">
        <v>177820</v>
      </c>
      <c r="M126" s="14">
        <f t="shared" si="3"/>
        <v>1.0515875412464244</v>
      </c>
      <c r="N126" s="14">
        <f t="shared" si="4"/>
        <v>1.0505701138082315</v>
      </c>
      <c r="O126" s="14">
        <f t="shared" si="5"/>
        <v>1.052654369587223</v>
      </c>
      <c r="P126" s="9">
        <v>6431</v>
      </c>
      <c r="Q126" s="9">
        <v>3295</v>
      </c>
      <c r="R126" s="9">
        <v>3136</v>
      </c>
    </row>
    <row r="127" spans="1:18" ht="17.45" customHeight="1" x14ac:dyDescent="0.25">
      <c r="A127" s="2">
        <v>1975</v>
      </c>
      <c r="B127" s="2" t="s">
        <v>45</v>
      </c>
      <c r="C127" s="3">
        <v>283683</v>
      </c>
      <c r="D127" s="3">
        <v>144959</v>
      </c>
      <c r="E127" s="3">
        <v>138724</v>
      </c>
      <c r="F127" s="3">
        <v>5000</v>
      </c>
      <c r="G127" s="3">
        <v>78330</v>
      </c>
      <c r="H127" s="3">
        <v>44484</v>
      </c>
      <c r="I127" s="3">
        <v>33846</v>
      </c>
      <c r="J127" s="3">
        <v>85184</v>
      </c>
      <c r="K127" s="3">
        <v>48388</v>
      </c>
      <c r="L127" s="3">
        <v>36796</v>
      </c>
      <c r="M127" s="13">
        <f t="shared" si="3"/>
        <v>0.91953888054094668</v>
      </c>
      <c r="N127" s="13">
        <f t="shared" si="4"/>
        <v>0.91931883938166492</v>
      </c>
      <c r="O127" s="13">
        <f t="shared" si="5"/>
        <v>0.91982824220023918</v>
      </c>
      <c r="P127" s="3">
        <v>1949</v>
      </c>
      <c r="Q127" s="3">
        <v>1000</v>
      </c>
      <c r="R127" s="3">
        <v>949</v>
      </c>
    </row>
    <row r="128" spans="1:18" ht="17.45" customHeight="1" x14ac:dyDescent="0.25">
      <c r="A128" s="2">
        <v>1980</v>
      </c>
      <c r="B128" s="2" t="s">
        <v>45</v>
      </c>
      <c r="C128" s="3">
        <v>282022</v>
      </c>
      <c r="D128" s="3">
        <v>143530</v>
      </c>
      <c r="E128" s="3">
        <v>138492</v>
      </c>
      <c r="F128" s="3">
        <v>5000</v>
      </c>
      <c r="G128" s="3">
        <v>90249</v>
      </c>
      <c r="H128" s="3">
        <v>51646</v>
      </c>
      <c r="I128" s="3">
        <v>38603</v>
      </c>
      <c r="J128" s="3">
        <v>95228</v>
      </c>
      <c r="K128" s="3">
        <v>54318</v>
      </c>
      <c r="L128" s="3">
        <v>40910</v>
      </c>
      <c r="M128" s="13">
        <f t="shared" si="3"/>
        <v>0.94771495778552528</v>
      </c>
      <c r="N128" s="13">
        <f t="shared" si="4"/>
        <v>0.95080820354210394</v>
      </c>
      <c r="O128" s="13">
        <f t="shared" si="5"/>
        <v>0.94360791982400394</v>
      </c>
      <c r="P128" s="3">
        <v>1902</v>
      </c>
      <c r="Q128" s="3">
        <v>940</v>
      </c>
      <c r="R128" s="3">
        <v>963</v>
      </c>
    </row>
    <row r="129" spans="1:18" ht="17.45" customHeight="1" x14ac:dyDescent="0.25">
      <c r="A129" s="2">
        <v>1985</v>
      </c>
      <c r="B129" s="2" t="s">
        <v>45</v>
      </c>
      <c r="C129" s="3">
        <v>299985</v>
      </c>
      <c r="D129" s="3">
        <v>154811</v>
      </c>
      <c r="E129" s="3">
        <v>145174</v>
      </c>
      <c r="F129" s="3">
        <v>5000</v>
      </c>
      <c r="G129" s="3">
        <v>119202</v>
      </c>
      <c r="H129" s="3">
        <v>67246</v>
      </c>
      <c r="I129" s="3">
        <v>51956</v>
      </c>
      <c r="J129" s="3">
        <v>112307</v>
      </c>
      <c r="K129" s="3">
        <v>63254</v>
      </c>
      <c r="L129" s="3">
        <v>49053</v>
      </c>
      <c r="M129" s="13">
        <f t="shared" si="3"/>
        <v>1.0613942140739223</v>
      </c>
      <c r="N129" s="13">
        <f t="shared" si="4"/>
        <v>1.0631106333196321</v>
      </c>
      <c r="O129" s="13">
        <f t="shared" si="5"/>
        <v>1.0591808859804701</v>
      </c>
      <c r="P129" s="3">
        <v>2093</v>
      </c>
      <c r="Q129" s="3">
        <v>1085</v>
      </c>
      <c r="R129" s="3">
        <v>1007</v>
      </c>
    </row>
    <row r="130" spans="1:18" ht="17.45" customHeight="1" x14ac:dyDescent="0.25">
      <c r="A130" s="2">
        <v>1990</v>
      </c>
      <c r="B130" s="2" t="s">
        <v>45</v>
      </c>
      <c r="C130" s="3">
        <v>299251</v>
      </c>
      <c r="D130" s="3">
        <v>156387</v>
      </c>
      <c r="E130" s="3">
        <v>142864</v>
      </c>
      <c r="F130" s="3">
        <v>5000</v>
      </c>
      <c r="G130" s="3">
        <v>138040</v>
      </c>
      <c r="H130" s="3">
        <v>78103</v>
      </c>
      <c r="I130" s="3">
        <v>59937</v>
      </c>
      <c r="J130" s="3">
        <v>144144</v>
      </c>
      <c r="K130" s="3">
        <v>81121</v>
      </c>
      <c r="L130" s="3">
        <v>63023</v>
      </c>
      <c r="M130" s="13">
        <f t="shared" si="3"/>
        <v>0.95765345765345766</v>
      </c>
      <c r="N130" s="13">
        <f t="shared" si="4"/>
        <v>0.962796316613454</v>
      </c>
      <c r="O130" s="13">
        <f t="shared" si="5"/>
        <v>0.95103374958348541</v>
      </c>
      <c r="P130" s="3">
        <v>2036</v>
      </c>
      <c r="Q130" s="3">
        <v>1032</v>
      </c>
      <c r="R130" s="3">
        <v>1005</v>
      </c>
    </row>
    <row r="131" spans="1:18" ht="17.45" customHeight="1" x14ac:dyDescent="0.25">
      <c r="A131" s="2">
        <v>2000</v>
      </c>
      <c r="B131" s="2" t="s">
        <v>45</v>
      </c>
      <c r="C131" s="3">
        <v>316841</v>
      </c>
      <c r="D131" s="3">
        <v>169046</v>
      </c>
      <c r="E131" s="3">
        <v>147795</v>
      </c>
      <c r="F131" s="3">
        <v>5000</v>
      </c>
      <c r="G131" s="3">
        <v>185265</v>
      </c>
      <c r="H131" s="3">
        <v>102983</v>
      </c>
      <c r="I131" s="3">
        <v>82282</v>
      </c>
      <c r="J131" s="3">
        <v>172206</v>
      </c>
      <c r="K131" s="3">
        <v>96887</v>
      </c>
      <c r="L131" s="3">
        <v>75319</v>
      </c>
      <c r="M131" s="13">
        <f t="shared" ref="M131:M194" si="6">G131/J131</f>
        <v>1.07583359464827</v>
      </c>
      <c r="N131" s="13">
        <f t="shared" ref="N131:N194" si="7">H131/K131</f>
        <v>1.0629186578178702</v>
      </c>
      <c r="O131" s="13">
        <f t="shared" ref="O131:O194" si="8">I131/L131</f>
        <v>1.0924467929738844</v>
      </c>
      <c r="P131" s="3">
        <v>2736</v>
      </c>
      <c r="Q131" s="3">
        <v>1402</v>
      </c>
      <c r="R131" s="3">
        <v>1330</v>
      </c>
    </row>
    <row r="132" spans="1:18" ht="17.45" customHeight="1" x14ac:dyDescent="0.25">
      <c r="A132" s="8">
        <v>1970</v>
      </c>
      <c r="B132" s="8" t="s">
        <v>46</v>
      </c>
      <c r="C132" s="9">
        <v>684951</v>
      </c>
      <c r="D132" s="9">
        <v>348024</v>
      </c>
      <c r="E132" s="9">
        <v>336927</v>
      </c>
      <c r="F132" s="9">
        <v>10000</v>
      </c>
      <c r="G132" s="9">
        <v>144610</v>
      </c>
      <c r="H132" s="9">
        <v>79928</v>
      </c>
      <c r="I132" s="9">
        <v>64682</v>
      </c>
      <c r="J132" s="9">
        <v>196821</v>
      </c>
      <c r="K132" s="9">
        <v>110250</v>
      </c>
      <c r="L132" s="9">
        <v>86571</v>
      </c>
      <c r="M132" s="14">
        <f t="shared" si="6"/>
        <v>0.73472850966106262</v>
      </c>
      <c r="N132" s="14">
        <f t="shared" si="7"/>
        <v>0.72497052154195007</v>
      </c>
      <c r="O132" s="14">
        <f t="shared" si="8"/>
        <v>0.74715551397119129</v>
      </c>
      <c r="P132" s="9">
        <v>4923</v>
      </c>
      <c r="Q132" s="9">
        <v>2419</v>
      </c>
      <c r="R132" s="9">
        <v>2493</v>
      </c>
    </row>
    <row r="133" spans="1:18" ht="17.45" customHeight="1" x14ac:dyDescent="0.25">
      <c r="A133" s="8">
        <v>1975</v>
      </c>
      <c r="B133" s="8" t="s">
        <v>46</v>
      </c>
      <c r="C133" s="9">
        <v>746666</v>
      </c>
      <c r="D133" s="9">
        <v>389557</v>
      </c>
      <c r="E133" s="9">
        <v>357109</v>
      </c>
      <c r="F133" s="9">
        <v>5000</v>
      </c>
      <c r="G133" s="9">
        <v>225047</v>
      </c>
      <c r="H133" s="9">
        <v>126303</v>
      </c>
      <c r="I133" s="9">
        <v>98744</v>
      </c>
      <c r="J133" s="9">
        <v>241467</v>
      </c>
      <c r="K133" s="9">
        <v>134620</v>
      </c>
      <c r="L133" s="9">
        <v>106847</v>
      </c>
      <c r="M133" s="14">
        <f t="shared" si="6"/>
        <v>0.93199898950995375</v>
      </c>
      <c r="N133" s="14">
        <f t="shared" si="7"/>
        <v>0.9382186896449265</v>
      </c>
      <c r="O133" s="14">
        <f t="shared" si="8"/>
        <v>0.92416258762529602</v>
      </c>
      <c r="P133" s="9">
        <v>5991</v>
      </c>
      <c r="Q133" s="9">
        <v>3024</v>
      </c>
      <c r="R133" s="9">
        <v>2972</v>
      </c>
    </row>
    <row r="134" spans="1:18" ht="17.45" customHeight="1" x14ac:dyDescent="0.25">
      <c r="A134" s="8">
        <v>1980</v>
      </c>
      <c r="B134" s="8" t="s">
        <v>46</v>
      </c>
      <c r="C134" s="9">
        <v>801809</v>
      </c>
      <c r="D134" s="9">
        <v>411682</v>
      </c>
      <c r="E134" s="9">
        <v>390127</v>
      </c>
      <c r="F134" s="9">
        <v>5000</v>
      </c>
      <c r="G134" s="9">
        <v>279756</v>
      </c>
      <c r="H134" s="9">
        <v>154383</v>
      </c>
      <c r="I134" s="9">
        <v>125373</v>
      </c>
      <c r="J134" s="9">
        <v>285182</v>
      </c>
      <c r="K134" s="9">
        <v>155794</v>
      </c>
      <c r="L134" s="9">
        <v>129388</v>
      </c>
      <c r="M134" s="14">
        <f t="shared" si="6"/>
        <v>0.98097355373060013</v>
      </c>
      <c r="N134" s="14">
        <f t="shared" si="7"/>
        <v>0.99094316854307607</v>
      </c>
      <c r="O134" s="14">
        <f t="shared" si="8"/>
        <v>0.96896930163539119</v>
      </c>
      <c r="P134" s="9">
        <v>6599</v>
      </c>
      <c r="Q134" s="9">
        <v>3369</v>
      </c>
      <c r="R134" s="9">
        <v>3235</v>
      </c>
    </row>
    <row r="135" spans="1:18" ht="17.45" customHeight="1" x14ac:dyDescent="0.25">
      <c r="A135" s="8">
        <v>1985</v>
      </c>
      <c r="B135" s="8" t="s">
        <v>46</v>
      </c>
      <c r="C135" s="9">
        <v>856175</v>
      </c>
      <c r="D135" s="9">
        <v>435276</v>
      </c>
      <c r="E135" s="9">
        <v>420899</v>
      </c>
      <c r="F135" s="9">
        <v>5000</v>
      </c>
      <c r="G135" s="9">
        <v>342298</v>
      </c>
      <c r="H135" s="9">
        <v>186179</v>
      </c>
      <c r="I135" s="9">
        <v>156119</v>
      </c>
      <c r="J135" s="9">
        <v>350955</v>
      </c>
      <c r="K135" s="9">
        <v>190850</v>
      </c>
      <c r="L135" s="9">
        <v>160105</v>
      </c>
      <c r="M135" s="14">
        <f t="shared" si="6"/>
        <v>0.9753330199028365</v>
      </c>
      <c r="N135" s="14">
        <f t="shared" si="7"/>
        <v>0.97552528163479169</v>
      </c>
      <c r="O135" s="14">
        <f t="shared" si="8"/>
        <v>0.97510383810624279</v>
      </c>
      <c r="P135" s="9">
        <v>7985</v>
      </c>
      <c r="Q135" s="9">
        <v>4101</v>
      </c>
      <c r="R135" s="9">
        <v>3884</v>
      </c>
    </row>
    <row r="136" spans="1:18" ht="17.45" customHeight="1" x14ac:dyDescent="0.25">
      <c r="A136" s="8">
        <v>1990</v>
      </c>
      <c r="B136" s="8" t="s">
        <v>46</v>
      </c>
      <c r="C136" s="9">
        <v>848201</v>
      </c>
      <c r="D136" s="9">
        <v>427701</v>
      </c>
      <c r="E136" s="9">
        <v>420500</v>
      </c>
      <c r="F136" s="9">
        <v>5000</v>
      </c>
      <c r="G136" s="9">
        <v>380951</v>
      </c>
      <c r="H136" s="9">
        <v>202845</v>
      </c>
      <c r="I136" s="9">
        <v>178106</v>
      </c>
      <c r="J136" s="9">
        <v>400348</v>
      </c>
      <c r="K136" s="9">
        <v>213248</v>
      </c>
      <c r="L136" s="9">
        <v>187100</v>
      </c>
      <c r="M136" s="14">
        <f t="shared" si="6"/>
        <v>0.9515496518029315</v>
      </c>
      <c r="N136" s="14">
        <f t="shared" si="7"/>
        <v>0.95121642406962781</v>
      </c>
      <c r="O136" s="14">
        <f t="shared" si="8"/>
        <v>0.95192944949225011</v>
      </c>
      <c r="P136" s="9">
        <v>8189</v>
      </c>
      <c r="Q136" s="9">
        <v>4305</v>
      </c>
      <c r="R136" s="9">
        <v>3884</v>
      </c>
    </row>
    <row r="137" spans="1:18" ht="17.45" customHeight="1" x14ac:dyDescent="0.25">
      <c r="A137" s="8">
        <v>2000</v>
      </c>
      <c r="B137" s="8" t="s">
        <v>46</v>
      </c>
      <c r="C137" s="9">
        <v>937389</v>
      </c>
      <c r="D137" s="9">
        <v>482199</v>
      </c>
      <c r="E137" s="9">
        <v>455190</v>
      </c>
      <c r="F137" s="9">
        <v>5000</v>
      </c>
      <c r="G137" s="9">
        <v>546127</v>
      </c>
      <c r="H137" s="9">
        <v>291098</v>
      </c>
      <c r="I137" s="9">
        <v>255029</v>
      </c>
      <c r="J137" s="9">
        <v>560551</v>
      </c>
      <c r="K137" s="9">
        <v>298759</v>
      </c>
      <c r="L137" s="9">
        <v>261792</v>
      </c>
      <c r="M137" s="14">
        <f t="shared" si="6"/>
        <v>0.97426817542025612</v>
      </c>
      <c r="N137" s="14">
        <f t="shared" si="7"/>
        <v>0.97435725785666705</v>
      </c>
      <c r="O137" s="14">
        <f t="shared" si="8"/>
        <v>0.97416651387360953</v>
      </c>
      <c r="P137" s="9">
        <v>10960</v>
      </c>
      <c r="Q137" s="9">
        <v>5677</v>
      </c>
      <c r="R137" s="9">
        <v>5283</v>
      </c>
    </row>
    <row r="138" spans="1:18" ht="17.45" customHeight="1" x14ac:dyDescent="0.25">
      <c r="A138" s="2">
        <v>1970</v>
      </c>
      <c r="B138" s="2" t="s">
        <v>101</v>
      </c>
      <c r="C138" s="3">
        <v>459367</v>
      </c>
      <c r="D138" s="3">
        <v>231671</v>
      </c>
      <c r="E138" s="3">
        <v>227696</v>
      </c>
      <c r="F138" s="3">
        <v>10000</v>
      </c>
      <c r="G138" s="3">
        <v>216373</v>
      </c>
      <c r="H138" s="3">
        <v>112369</v>
      </c>
      <c r="I138" s="3">
        <v>104004</v>
      </c>
      <c r="J138" s="3">
        <v>245905</v>
      </c>
      <c r="K138" s="3">
        <v>127441</v>
      </c>
      <c r="L138" s="3">
        <v>118464</v>
      </c>
      <c r="M138" s="13">
        <f t="shared" si="6"/>
        <v>0.87990484130050217</v>
      </c>
      <c r="N138" s="13">
        <f t="shared" si="7"/>
        <v>0.88173350805470763</v>
      </c>
      <c r="O138" s="13">
        <f t="shared" si="8"/>
        <v>0.87793760129659648</v>
      </c>
      <c r="P138" s="3">
        <v>5994</v>
      </c>
      <c r="Q138" s="3">
        <v>2898</v>
      </c>
      <c r="R138" s="3">
        <v>3097</v>
      </c>
    </row>
    <row r="139" spans="1:18" ht="17.45" customHeight="1" x14ac:dyDescent="0.25">
      <c r="A139" s="2">
        <v>1975</v>
      </c>
      <c r="B139" s="2" t="s">
        <v>101</v>
      </c>
      <c r="C139" s="3">
        <v>495097</v>
      </c>
      <c r="D139" s="3">
        <v>254173</v>
      </c>
      <c r="E139" s="3">
        <v>240924</v>
      </c>
      <c r="F139" s="3">
        <v>5000</v>
      </c>
      <c r="G139" s="3">
        <v>282068</v>
      </c>
      <c r="H139" s="3">
        <v>148270</v>
      </c>
      <c r="I139" s="3">
        <v>133798</v>
      </c>
      <c r="J139" s="3">
        <v>292110</v>
      </c>
      <c r="K139" s="3">
        <v>153784</v>
      </c>
      <c r="L139" s="3">
        <v>138326</v>
      </c>
      <c r="M139" s="13">
        <f t="shared" si="6"/>
        <v>0.9656225394543152</v>
      </c>
      <c r="N139" s="13">
        <f t="shared" si="7"/>
        <v>0.9641445143838111</v>
      </c>
      <c r="O139" s="13">
        <f t="shared" si="8"/>
        <v>0.96726573456906151</v>
      </c>
      <c r="P139" s="3">
        <v>6773</v>
      </c>
      <c r="Q139" s="3">
        <v>3455</v>
      </c>
      <c r="R139" s="3">
        <v>3318</v>
      </c>
    </row>
    <row r="140" spans="1:18" ht="17.45" customHeight="1" x14ac:dyDescent="0.25">
      <c r="A140" s="2">
        <v>1980</v>
      </c>
      <c r="B140" s="2" t="s">
        <v>101</v>
      </c>
      <c r="C140" s="3">
        <v>543802</v>
      </c>
      <c r="D140" s="3">
        <v>275608</v>
      </c>
      <c r="E140" s="3">
        <v>268194</v>
      </c>
      <c r="F140" s="3">
        <v>5000</v>
      </c>
      <c r="G140" s="3">
        <v>334079</v>
      </c>
      <c r="H140" s="3">
        <v>171618</v>
      </c>
      <c r="I140" s="3">
        <v>162461</v>
      </c>
      <c r="J140" s="3">
        <v>343923</v>
      </c>
      <c r="K140" s="3">
        <v>176753</v>
      </c>
      <c r="L140" s="3">
        <v>167170</v>
      </c>
      <c r="M140" s="13">
        <f t="shared" si="6"/>
        <v>0.9713773141080998</v>
      </c>
      <c r="N140" s="13">
        <f t="shared" si="7"/>
        <v>0.97094815929574041</v>
      </c>
      <c r="O140" s="13">
        <f t="shared" si="8"/>
        <v>0.97183107016809234</v>
      </c>
      <c r="P140" s="3">
        <v>7513</v>
      </c>
      <c r="Q140" s="3">
        <v>3819</v>
      </c>
      <c r="R140" s="3">
        <v>3694</v>
      </c>
    </row>
    <row r="141" spans="1:18" ht="17.45" customHeight="1" x14ac:dyDescent="0.25">
      <c r="A141" s="2">
        <v>1985</v>
      </c>
      <c r="B141" s="2" t="s">
        <v>101</v>
      </c>
      <c r="C141" s="3">
        <v>597397</v>
      </c>
      <c r="D141" s="3">
        <v>301562</v>
      </c>
      <c r="E141" s="3">
        <v>295835</v>
      </c>
      <c r="F141" s="3">
        <v>5000</v>
      </c>
      <c r="G141" s="3">
        <v>393228</v>
      </c>
      <c r="H141" s="3">
        <v>199698</v>
      </c>
      <c r="I141" s="3">
        <v>193530</v>
      </c>
      <c r="J141" s="3">
        <v>404236</v>
      </c>
      <c r="K141" s="3">
        <v>205603</v>
      </c>
      <c r="L141" s="3">
        <v>198633</v>
      </c>
      <c r="M141" s="13">
        <f t="shared" si="6"/>
        <v>0.97276838282587397</v>
      </c>
      <c r="N141" s="13">
        <f t="shared" si="7"/>
        <v>0.97127960195133345</v>
      </c>
      <c r="O141" s="13">
        <f t="shared" si="8"/>
        <v>0.97430940478168282</v>
      </c>
      <c r="P141" s="3">
        <v>7056</v>
      </c>
      <c r="Q141" s="3">
        <v>3612</v>
      </c>
      <c r="R141" s="3">
        <v>3444</v>
      </c>
    </row>
    <row r="142" spans="1:18" ht="17.45" customHeight="1" x14ac:dyDescent="0.25">
      <c r="A142" s="2">
        <v>1990</v>
      </c>
      <c r="B142" s="2" t="s">
        <v>101</v>
      </c>
      <c r="C142" s="3">
        <v>641057</v>
      </c>
      <c r="D142" s="3">
        <v>321928</v>
      </c>
      <c r="E142" s="3">
        <v>319129</v>
      </c>
      <c r="F142" s="3">
        <v>5000</v>
      </c>
      <c r="G142" s="3">
        <v>457327</v>
      </c>
      <c r="H142" s="3">
        <v>230166</v>
      </c>
      <c r="I142" s="3">
        <v>227161</v>
      </c>
      <c r="J142" s="3">
        <v>477436</v>
      </c>
      <c r="K142" s="3">
        <v>240681</v>
      </c>
      <c r="L142" s="3">
        <v>236755</v>
      </c>
      <c r="M142" s="13">
        <f t="shared" si="6"/>
        <v>0.95788126576127486</v>
      </c>
      <c r="N142" s="13">
        <f t="shared" si="7"/>
        <v>0.95631146621461605</v>
      </c>
      <c r="O142" s="13">
        <f t="shared" si="8"/>
        <v>0.95947709657662983</v>
      </c>
      <c r="P142" s="3">
        <v>7995</v>
      </c>
      <c r="Q142" s="3">
        <v>4107</v>
      </c>
      <c r="R142" s="3">
        <v>3888</v>
      </c>
    </row>
    <row r="143" spans="1:18" ht="17.45" customHeight="1" x14ac:dyDescent="0.25">
      <c r="A143" s="2">
        <v>2000</v>
      </c>
      <c r="B143" s="2" t="s">
        <v>101</v>
      </c>
      <c r="C143" s="3">
        <v>706009</v>
      </c>
      <c r="D143" s="3">
        <v>352264</v>
      </c>
      <c r="E143" s="3">
        <v>353745</v>
      </c>
      <c r="F143" s="3">
        <v>5000</v>
      </c>
      <c r="G143" s="3">
        <v>548553</v>
      </c>
      <c r="H143" s="3">
        <v>273021</v>
      </c>
      <c r="I143" s="3">
        <v>275532</v>
      </c>
      <c r="J143" s="3">
        <v>557028</v>
      </c>
      <c r="K143" s="3">
        <v>277358</v>
      </c>
      <c r="L143" s="3">
        <v>279670</v>
      </c>
      <c r="M143" s="13">
        <f t="shared" si="6"/>
        <v>0.98478532497468707</v>
      </c>
      <c r="N143" s="13">
        <f t="shared" si="7"/>
        <v>0.98436316962193271</v>
      </c>
      <c r="O143" s="13">
        <f t="shared" si="8"/>
        <v>0.98520399041727746</v>
      </c>
      <c r="P143" s="3">
        <v>7562</v>
      </c>
      <c r="Q143" s="3">
        <v>3875</v>
      </c>
      <c r="R143" s="3">
        <v>3688</v>
      </c>
    </row>
    <row r="144" spans="1:18" ht="17.45" customHeight="1" x14ac:dyDescent="0.25">
      <c r="A144" s="8">
        <v>1970</v>
      </c>
      <c r="B144" s="8" t="s">
        <v>48</v>
      </c>
      <c r="C144" s="9">
        <v>606540</v>
      </c>
      <c r="D144" s="9">
        <v>308154</v>
      </c>
      <c r="E144" s="9">
        <v>298386</v>
      </c>
      <c r="F144" s="9">
        <v>10000</v>
      </c>
      <c r="G144" s="9">
        <v>318201</v>
      </c>
      <c r="H144" s="9">
        <v>165495</v>
      </c>
      <c r="I144" s="9">
        <v>152706</v>
      </c>
      <c r="J144" s="9">
        <v>330082</v>
      </c>
      <c r="K144" s="9">
        <v>171779</v>
      </c>
      <c r="L144" s="9">
        <v>158303</v>
      </c>
      <c r="M144" s="14">
        <f t="shared" si="6"/>
        <v>0.96400591368205479</v>
      </c>
      <c r="N144" s="14">
        <f t="shared" si="7"/>
        <v>0.96341811280773548</v>
      </c>
      <c r="O144" s="14">
        <f t="shared" si="8"/>
        <v>0.96464375280316861</v>
      </c>
      <c r="P144" s="9">
        <v>9850</v>
      </c>
      <c r="Q144" s="9">
        <v>5379</v>
      </c>
      <c r="R144" s="9">
        <v>4471</v>
      </c>
    </row>
    <row r="145" spans="1:18" ht="17.45" customHeight="1" x14ac:dyDescent="0.25">
      <c r="A145" s="8">
        <v>1975</v>
      </c>
      <c r="B145" s="8" t="s">
        <v>48</v>
      </c>
      <c r="C145" s="9">
        <v>715939</v>
      </c>
      <c r="D145" s="9">
        <v>369748</v>
      </c>
      <c r="E145" s="9">
        <v>346191</v>
      </c>
      <c r="F145" s="9">
        <v>5000</v>
      </c>
      <c r="G145" s="9">
        <v>429880</v>
      </c>
      <c r="H145" s="9">
        <v>226761</v>
      </c>
      <c r="I145" s="9">
        <v>203119</v>
      </c>
      <c r="J145" s="9">
        <v>427017</v>
      </c>
      <c r="K145" s="9">
        <v>225234</v>
      </c>
      <c r="L145" s="9">
        <v>201783</v>
      </c>
      <c r="M145" s="14">
        <f t="shared" si="6"/>
        <v>1.0067046511028834</v>
      </c>
      <c r="N145" s="14">
        <f t="shared" si="7"/>
        <v>1.0067796158661659</v>
      </c>
      <c r="O145" s="14">
        <f t="shared" si="8"/>
        <v>1.0066209740166416</v>
      </c>
      <c r="P145" s="9">
        <v>11907</v>
      </c>
      <c r="Q145" s="9">
        <v>6020</v>
      </c>
      <c r="R145" s="9">
        <v>5887</v>
      </c>
    </row>
    <row r="146" spans="1:18" ht="17.45" customHeight="1" x14ac:dyDescent="0.25">
      <c r="A146" s="8">
        <v>1980</v>
      </c>
      <c r="B146" s="8" t="s">
        <v>48</v>
      </c>
      <c r="C146" s="9">
        <v>808697</v>
      </c>
      <c r="D146" s="9">
        <v>409302</v>
      </c>
      <c r="E146" s="9">
        <v>399395</v>
      </c>
      <c r="F146" s="9">
        <v>5000</v>
      </c>
      <c r="G146" s="9">
        <v>509734</v>
      </c>
      <c r="H146" s="9">
        <v>260651</v>
      </c>
      <c r="I146" s="9">
        <v>249083</v>
      </c>
      <c r="J146" s="9">
        <v>512748</v>
      </c>
      <c r="K146" s="9">
        <v>262229</v>
      </c>
      <c r="L146" s="9">
        <v>250519</v>
      </c>
      <c r="M146" s="14">
        <f t="shared" si="6"/>
        <v>0.99412186883225284</v>
      </c>
      <c r="N146" s="14">
        <f t="shared" si="7"/>
        <v>0.99398235893055309</v>
      </c>
      <c r="O146" s="14">
        <f t="shared" si="8"/>
        <v>0.99426789983993225</v>
      </c>
      <c r="P146" s="9">
        <v>13325</v>
      </c>
      <c r="Q146" s="9">
        <v>6890</v>
      </c>
      <c r="R146" s="9">
        <v>6435</v>
      </c>
    </row>
    <row r="147" spans="1:18" ht="17.45" customHeight="1" x14ac:dyDescent="0.25">
      <c r="A147" s="8">
        <v>1985</v>
      </c>
      <c r="B147" s="8" t="s">
        <v>48</v>
      </c>
      <c r="C147" s="9">
        <v>966490</v>
      </c>
      <c r="D147" s="9">
        <v>490022</v>
      </c>
      <c r="E147" s="9">
        <v>476468</v>
      </c>
      <c r="F147" s="9">
        <v>5000</v>
      </c>
      <c r="G147" s="9">
        <v>649740</v>
      </c>
      <c r="H147" s="9">
        <v>333758</v>
      </c>
      <c r="I147" s="9">
        <v>315982</v>
      </c>
      <c r="J147" s="9">
        <v>642938</v>
      </c>
      <c r="K147" s="9">
        <v>330370</v>
      </c>
      <c r="L147" s="9">
        <v>312568</v>
      </c>
      <c r="M147" s="14">
        <f t="shared" si="6"/>
        <v>1.0105795582155666</v>
      </c>
      <c r="N147" s="14">
        <f t="shared" si="7"/>
        <v>1.0102551684474983</v>
      </c>
      <c r="O147" s="14">
        <f t="shared" si="8"/>
        <v>1.0109224232806941</v>
      </c>
      <c r="P147" s="9">
        <v>16037</v>
      </c>
      <c r="Q147" s="9">
        <v>8305</v>
      </c>
      <c r="R147" s="9">
        <v>7733</v>
      </c>
    </row>
    <row r="148" spans="1:18" ht="17.45" customHeight="1" x14ac:dyDescent="0.25">
      <c r="A148" s="8">
        <v>1990</v>
      </c>
      <c r="B148" s="8" t="s">
        <v>48</v>
      </c>
      <c r="C148" s="9">
        <v>1140594</v>
      </c>
      <c r="D148" s="9">
        <v>577881</v>
      </c>
      <c r="E148" s="9">
        <v>562713</v>
      </c>
      <c r="F148" s="9">
        <v>5000</v>
      </c>
      <c r="G148" s="9">
        <v>822970</v>
      </c>
      <c r="H148" s="9">
        <v>423607</v>
      </c>
      <c r="I148" s="9">
        <v>399363</v>
      </c>
      <c r="J148" s="9">
        <v>821127</v>
      </c>
      <c r="K148" s="9">
        <v>422539</v>
      </c>
      <c r="L148" s="9">
        <v>398588</v>
      </c>
      <c r="M148" s="14">
        <f t="shared" si="6"/>
        <v>1.0022444761894322</v>
      </c>
      <c r="N148" s="14">
        <f t="shared" si="7"/>
        <v>1.0025275773360565</v>
      </c>
      <c r="O148" s="14">
        <f t="shared" si="8"/>
        <v>1.0019443636035203</v>
      </c>
      <c r="P148" s="9">
        <v>19509</v>
      </c>
      <c r="Q148" s="9">
        <v>9903</v>
      </c>
      <c r="R148" s="9">
        <v>9606</v>
      </c>
    </row>
    <row r="149" spans="1:18" ht="17.45" customHeight="1" x14ac:dyDescent="0.25">
      <c r="A149" s="8">
        <v>2000</v>
      </c>
      <c r="B149" s="8" t="s">
        <v>48</v>
      </c>
      <c r="C149" s="9">
        <v>1285249</v>
      </c>
      <c r="D149" s="9">
        <v>645847</v>
      </c>
      <c r="E149" s="9">
        <v>639402</v>
      </c>
      <c r="F149" s="9">
        <v>10000</v>
      </c>
      <c r="G149" s="9">
        <v>996971</v>
      </c>
      <c r="H149" s="9">
        <v>503932</v>
      </c>
      <c r="I149" s="9">
        <v>493039</v>
      </c>
      <c r="J149" s="9">
        <v>1009126</v>
      </c>
      <c r="K149" s="9">
        <v>510366</v>
      </c>
      <c r="L149" s="9">
        <v>498760</v>
      </c>
      <c r="M149" s="14">
        <f t="shared" si="6"/>
        <v>0.98795492336933144</v>
      </c>
      <c r="N149" s="14">
        <f t="shared" si="7"/>
        <v>0.98739336084300289</v>
      </c>
      <c r="O149" s="14">
        <f t="shared" si="8"/>
        <v>0.98852955329216452</v>
      </c>
      <c r="P149" s="9">
        <v>27252</v>
      </c>
      <c r="Q149" s="9">
        <v>13943</v>
      </c>
      <c r="R149" s="9">
        <v>13310</v>
      </c>
    </row>
    <row r="150" spans="1:18" ht="17.45" customHeight="1" x14ac:dyDescent="0.25">
      <c r="A150" s="2">
        <v>1975</v>
      </c>
      <c r="B150" s="2" t="s">
        <v>49</v>
      </c>
      <c r="C150" s="3">
        <v>463587</v>
      </c>
      <c r="D150" s="3">
        <v>228967</v>
      </c>
      <c r="E150" s="3">
        <v>234620</v>
      </c>
      <c r="F150" s="3">
        <v>5000</v>
      </c>
      <c r="G150" s="3">
        <v>104650</v>
      </c>
      <c r="H150" s="3">
        <v>55945</v>
      </c>
      <c r="I150" s="3">
        <v>48705</v>
      </c>
      <c r="J150" s="3">
        <v>108838</v>
      </c>
      <c r="K150" s="3">
        <v>58066</v>
      </c>
      <c r="L150" s="3">
        <v>50772</v>
      </c>
      <c r="M150" s="13">
        <f t="shared" si="6"/>
        <v>0.96152079237031185</v>
      </c>
      <c r="N150" s="13">
        <f t="shared" si="7"/>
        <v>0.96347260014466296</v>
      </c>
      <c r="O150" s="13">
        <f t="shared" si="8"/>
        <v>0.9592885842590404</v>
      </c>
      <c r="P150" s="3">
        <v>4045</v>
      </c>
      <c r="Q150" s="3">
        <v>2120</v>
      </c>
      <c r="R150" s="3">
        <v>1924</v>
      </c>
    </row>
    <row r="151" spans="1:18" ht="17.45" customHeight="1" x14ac:dyDescent="0.25">
      <c r="A151" s="2">
        <v>1980</v>
      </c>
      <c r="B151" s="2" t="s">
        <v>49</v>
      </c>
      <c r="C151" s="3">
        <v>480083</v>
      </c>
      <c r="D151" s="3">
        <v>232002</v>
      </c>
      <c r="E151" s="3">
        <v>248081</v>
      </c>
      <c r="F151" s="3">
        <v>5000</v>
      </c>
      <c r="G151" s="3">
        <v>122561</v>
      </c>
      <c r="H151" s="3">
        <v>63872</v>
      </c>
      <c r="I151" s="3">
        <v>58689</v>
      </c>
      <c r="J151" s="3">
        <v>127111</v>
      </c>
      <c r="K151" s="3">
        <v>66104</v>
      </c>
      <c r="L151" s="3">
        <v>61007</v>
      </c>
      <c r="M151" s="13">
        <f t="shared" si="6"/>
        <v>0.96420451416478514</v>
      </c>
      <c r="N151" s="13">
        <f t="shared" si="7"/>
        <v>0.96623502359917701</v>
      </c>
      <c r="O151" s="13">
        <f t="shared" si="8"/>
        <v>0.96200436015539204</v>
      </c>
      <c r="P151" s="3">
        <v>2841</v>
      </c>
      <c r="Q151" s="3">
        <v>1498</v>
      </c>
      <c r="R151" s="3">
        <v>1343</v>
      </c>
    </row>
    <row r="152" spans="1:18" ht="17.45" customHeight="1" x14ac:dyDescent="0.25">
      <c r="A152" s="2">
        <v>1985</v>
      </c>
      <c r="B152" s="2" t="s">
        <v>49</v>
      </c>
      <c r="C152" s="3">
        <v>502151</v>
      </c>
      <c r="D152" s="3">
        <v>243372</v>
      </c>
      <c r="E152" s="3">
        <v>258779</v>
      </c>
      <c r="F152" s="3">
        <v>5000</v>
      </c>
      <c r="G152" s="3">
        <v>161635</v>
      </c>
      <c r="H152" s="3">
        <v>84317</v>
      </c>
      <c r="I152" s="3">
        <v>77318</v>
      </c>
      <c r="J152" s="3">
        <v>160995</v>
      </c>
      <c r="K152" s="3">
        <v>83942</v>
      </c>
      <c r="L152" s="3">
        <v>77053</v>
      </c>
      <c r="M152" s="13">
        <f t="shared" si="6"/>
        <v>1.0039752787353644</v>
      </c>
      <c r="N152" s="13">
        <f t="shared" si="7"/>
        <v>1.0044673703271307</v>
      </c>
      <c r="O152" s="13">
        <f t="shared" si="8"/>
        <v>1.003439191206053</v>
      </c>
      <c r="P152" s="3">
        <v>2747</v>
      </c>
      <c r="Q152" s="3">
        <v>1382</v>
      </c>
      <c r="R152" s="3">
        <v>1365</v>
      </c>
    </row>
    <row r="153" spans="1:18" ht="17.45" customHeight="1" x14ac:dyDescent="0.25">
      <c r="A153" s="2">
        <v>1990</v>
      </c>
      <c r="B153" s="2" t="s">
        <v>49</v>
      </c>
      <c r="C153" s="3">
        <v>499087</v>
      </c>
      <c r="D153" s="3">
        <v>246957</v>
      </c>
      <c r="E153" s="3">
        <v>252130</v>
      </c>
      <c r="F153" s="3">
        <v>5000</v>
      </c>
      <c r="G153" s="3">
        <v>205659</v>
      </c>
      <c r="H153" s="3">
        <v>108644</v>
      </c>
      <c r="I153" s="3">
        <v>97015</v>
      </c>
      <c r="J153" s="3">
        <v>219114</v>
      </c>
      <c r="K153" s="3">
        <v>115381</v>
      </c>
      <c r="L153" s="3">
        <v>103733</v>
      </c>
      <c r="M153" s="13">
        <f t="shared" si="6"/>
        <v>0.93859360880637477</v>
      </c>
      <c r="N153" s="13">
        <f t="shared" si="7"/>
        <v>0.94161083713956373</v>
      </c>
      <c r="O153" s="13">
        <f t="shared" si="8"/>
        <v>0.93523758109762567</v>
      </c>
      <c r="P153" s="3">
        <v>3375</v>
      </c>
      <c r="Q153" s="3">
        <v>1715</v>
      </c>
      <c r="R153" s="3">
        <v>1661</v>
      </c>
    </row>
    <row r="154" spans="1:18" ht="17.45" customHeight="1" x14ac:dyDescent="0.25">
      <c r="A154" s="2">
        <v>2000</v>
      </c>
      <c r="B154" s="2" t="s">
        <v>49</v>
      </c>
      <c r="C154" s="3">
        <v>523819</v>
      </c>
      <c r="D154" s="3">
        <v>263343</v>
      </c>
      <c r="E154" s="3">
        <v>260476</v>
      </c>
      <c r="F154" s="3">
        <v>5000</v>
      </c>
      <c r="G154" s="3">
        <v>273376</v>
      </c>
      <c r="H154" s="3">
        <v>141072</v>
      </c>
      <c r="I154" s="3">
        <v>132304</v>
      </c>
      <c r="J154" s="3">
        <v>283316</v>
      </c>
      <c r="K154" s="3">
        <v>146395</v>
      </c>
      <c r="L154" s="3">
        <v>136921</v>
      </c>
      <c r="M154" s="13">
        <f t="shared" si="6"/>
        <v>0.96491550071298482</v>
      </c>
      <c r="N154" s="13">
        <f t="shared" si="7"/>
        <v>0.96363946856108473</v>
      </c>
      <c r="O154" s="13">
        <f t="shared" si="8"/>
        <v>0.96627982559286008</v>
      </c>
      <c r="P154" s="3">
        <v>4284</v>
      </c>
      <c r="Q154" s="3">
        <v>2263</v>
      </c>
      <c r="R154" s="3">
        <v>2021</v>
      </c>
    </row>
    <row r="155" spans="1:18" ht="17.45" customHeight="1" x14ac:dyDescent="0.25">
      <c r="A155" s="8">
        <v>1975</v>
      </c>
      <c r="B155" s="8" t="s">
        <v>50</v>
      </c>
      <c r="C155" s="9">
        <v>293673</v>
      </c>
      <c r="D155" s="9">
        <v>142353</v>
      </c>
      <c r="E155" s="9">
        <v>151320</v>
      </c>
      <c r="F155" s="9">
        <v>5000</v>
      </c>
      <c r="G155" s="9">
        <v>43298</v>
      </c>
      <c r="H155" s="9">
        <v>24151</v>
      </c>
      <c r="I155" s="9">
        <v>19147</v>
      </c>
      <c r="J155" s="9">
        <v>46519</v>
      </c>
      <c r="K155" s="9">
        <v>25937</v>
      </c>
      <c r="L155" s="9">
        <v>20582</v>
      </c>
      <c r="M155" s="14">
        <f t="shared" si="6"/>
        <v>0.93075947462327224</v>
      </c>
      <c r="N155" s="14">
        <f t="shared" si="7"/>
        <v>0.93114084126922925</v>
      </c>
      <c r="O155" s="14">
        <f t="shared" si="8"/>
        <v>0.93027888446215135</v>
      </c>
      <c r="P155" s="9">
        <v>1154</v>
      </c>
      <c r="Q155" s="9">
        <v>564</v>
      </c>
      <c r="R155" s="9">
        <v>590</v>
      </c>
    </row>
    <row r="156" spans="1:18" ht="17.45" customHeight="1" x14ac:dyDescent="0.25">
      <c r="A156" s="8">
        <v>1980</v>
      </c>
      <c r="B156" s="8" t="s">
        <v>50</v>
      </c>
      <c r="C156" s="9">
        <v>275191</v>
      </c>
      <c r="D156" s="9">
        <v>130198</v>
      </c>
      <c r="E156" s="9">
        <v>144993</v>
      </c>
      <c r="F156" s="9">
        <v>5000</v>
      </c>
      <c r="G156" s="9">
        <v>48408</v>
      </c>
      <c r="H156" s="9">
        <v>26431</v>
      </c>
      <c r="I156" s="9">
        <v>21977</v>
      </c>
      <c r="J156" s="9">
        <v>51404</v>
      </c>
      <c r="K156" s="9">
        <v>28017</v>
      </c>
      <c r="L156" s="9">
        <v>23387</v>
      </c>
      <c r="M156" s="14">
        <f t="shared" si="6"/>
        <v>0.94171659793012219</v>
      </c>
      <c r="N156" s="14">
        <f t="shared" si="7"/>
        <v>0.94339151229610596</v>
      </c>
      <c r="O156" s="14">
        <f t="shared" si="8"/>
        <v>0.93971009535211869</v>
      </c>
      <c r="P156" s="9">
        <v>979</v>
      </c>
      <c r="Q156" s="9">
        <v>491</v>
      </c>
      <c r="R156" s="9">
        <v>488</v>
      </c>
    </row>
    <row r="157" spans="1:18" ht="17.45" customHeight="1" x14ac:dyDescent="0.25">
      <c r="A157" s="8">
        <v>1985</v>
      </c>
      <c r="B157" s="8" t="s">
        <v>50</v>
      </c>
      <c r="C157" s="9">
        <v>283753</v>
      </c>
      <c r="D157" s="9">
        <v>135693</v>
      </c>
      <c r="E157" s="9">
        <v>148060</v>
      </c>
      <c r="F157" s="9">
        <v>5000</v>
      </c>
      <c r="G157" s="9">
        <v>64576</v>
      </c>
      <c r="H157" s="9">
        <v>36057</v>
      </c>
      <c r="I157" s="9">
        <v>28519</v>
      </c>
      <c r="J157" s="9">
        <v>68793</v>
      </c>
      <c r="K157" s="9">
        <v>38408</v>
      </c>
      <c r="L157" s="9">
        <v>30385</v>
      </c>
      <c r="M157" s="14">
        <f t="shared" si="6"/>
        <v>0.93870015844635357</v>
      </c>
      <c r="N157" s="14">
        <f t="shared" si="7"/>
        <v>0.9387887940012497</v>
      </c>
      <c r="O157" s="14">
        <f t="shared" si="8"/>
        <v>0.93858811913773244</v>
      </c>
      <c r="P157" s="9">
        <v>1192</v>
      </c>
      <c r="Q157" s="9">
        <v>621</v>
      </c>
      <c r="R157" s="9">
        <v>571</v>
      </c>
    </row>
    <row r="158" spans="1:18" ht="17.45" customHeight="1" x14ac:dyDescent="0.25">
      <c r="A158" s="8">
        <v>1990</v>
      </c>
      <c r="B158" s="8" t="s">
        <v>50</v>
      </c>
      <c r="C158" s="9">
        <v>169375</v>
      </c>
      <c r="D158" s="9">
        <v>81621</v>
      </c>
      <c r="E158" s="9">
        <v>87754</v>
      </c>
      <c r="F158" s="9">
        <v>5000</v>
      </c>
      <c r="G158" s="9">
        <v>52130</v>
      </c>
      <c r="H158" s="9">
        <v>28552</v>
      </c>
      <c r="I158" s="9">
        <v>23578</v>
      </c>
      <c r="J158" s="9">
        <v>58996</v>
      </c>
      <c r="K158" s="9">
        <v>31921</v>
      </c>
      <c r="L158" s="9">
        <v>27075</v>
      </c>
      <c r="M158" s="14">
        <f t="shared" si="6"/>
        <v>0.88361922842226592</v>
      </c>
      <c r="N158" s="14">
        <f t="shared" si="7"/>
        <v>0.89445819366561197</v>
      </c>
      <c r="O158" s="14">
        <f t="shared" si="8"/>
        <v>0.8708402585410896</v>
      </c>
      <c r="P158" s="9">
        <v>943</v>
      </c>
      <c r="Q158" s="9">
        <v>465</v>
      </c>
      <c r="R158" s="9">
        <v>479</v>
      </c>
    </row>
    <row r="159" spans="1:18" ht="17.45" customHeight="1" x14ac:dyDescent="0.25">
      <c r="A159" s="8">
        <v>2000</v>
      </c>
      <c r="B159" s="8" t="s">
        <v>50</v>
      </c>
      <c r="C159" s="9">
        <v>186953</v>
      </c>
      <c r="D159" s="9">
        <v>94879</v>
      </c>
      <c r="E159" s="9">
        <v>92074</v>
      </c>
      <c r="F159" s="9">
        <v>5000</v>
      </c>
      <c r="G159" s="9">
        <v>79602</v>
      </c>
      <c r="H159" s="9">
        <v>42311</v>
      </c>
      <c r="I159" s="9">
        <v>37291</v>
      </c>
      <c r="J159" s="9">
        <v>77570</v>
      </c>
      <c r="K159" s="9">
        <v>41247</v>
      </c>
      <c r="L159" s="9">
        <v>36323</v>
      </c>
      <c r="M159" s="14">
        <f t="shared" si="6"/>
        <v>1.0261956942116797</v>
      </c>
      <c r="N159" s="14">
        <f t="shared" si="7"/>
        <v>1.0257958154532452</v>
      </c>
      <c r="O159" s="14">
        <f t="shared" si="8"/>
        <v>1.0266497811304132</v>
      </c>
      <c r="P159" s="9">
        <v>1365</v>
      </c>
      <c r="Q159" s="9">
        <v>747</v>
      </c>
      <c r="R159" s="9">
        <v>619</v>
      </c>
    </row>
    <row r="160" spans="1:18" ht="17.45" customHeight="1" x14ac:dyDescent="0.25">
      <c r="A160" s="2">
        <v>1980</v>
      </c>
      <c r="B160" s="2" t="s">
        <v>4</v>
      </c>
      <c r="C160" s="3">
        <v>155463</v>
      </c>
      <c r="D160" s="3">
        <v>84056</v>
      </c>
      <c r="E160" s="3">
        <v>71407</v>
      </c>
      <c r="F160" s="3">
        <v>5000</v>
      </c>
      <c r="G160" s="3">
        <v>32296</v>
      </c>
      <c r="H160" s="3">
        <v>18718</v>
      </c>
      <c r="I160" s="3">
        <v>13578</v>
      </c>
      <c r="J160" s="3">
        <v>44118</v>
      </c>
      <c r="K160" s="3">
        <v>25425</v>
      </c>
      <c r="L160" s="3">
        <v>18693</v>
      </c>
      <c r="M160" s="13">
        <f t="shared" si="6"/>
        <v>0.73203681037218371</v>
      </c>
      <c r="N160" s="13">
        <f t="shared" si="7"/>
        <v>0.73620452310717799</v>
      </c>
      <c r="O160" s="13">
        <f t="shared" si="8"/>
        <v>0.72636815920398012</v>
      </c>
      <c r="P160" s="3">
        <v>1045</v>
      </c>
      <c r="Q160" s="3">
        <v>569</v>
      </c>
      <c r="R160" s="3">
        <v>476</v>
      </c>
    </row>
    <row r="161" spans="1:18" ht="17.45" customHeight="1" x14ac:dyDescent="0.25">
      <c r="A161" s="2">
        <v>1985</v>
      </c>
      <c r="B161" s="2" t="s">
        <v>4</v>
      </c>
      <c r="C161" s="3">
        <v>182645</v>
      </c>
      <c r="D161" s="3">
        <v>100715</v>
      </c>
      <c r="E161" s="3">
        <v>81930</v>
      </c>
      <c r="F161" s="3">
        <v>5000</v>
      </c>
      <c r="G161" s="3">
        <v>52456</v>
      </c>
      <c r="H161" s="3">
        <v>31500</v>
      </c>
      <c r="I161" s="3">
        <v>20956</v>
      </c>
      <c r="J161" s="3">
        <v>55563</v>
      </c>
      <c r="K161" s="3">
        <v>34521</v>
      </c>
      <c r="L161" s="3">
        <v>21042</v>
      </c>
      <c r="M161" s="13">
        <f t="shared" si="6"/>
        <v>0.94408149307992728</v>
      </c>
      <c r="N161" s="13">
        <f t="shared" si="7"/>
        <v>0.91248805075171635</v>
      </c>
      <c r="O161" s="13">
        <f t="shared" si="8"/>
        <v>0.99591293603269648</v>
      </c>
      <c r="P161" s="3">
        <v>1407</v>
      </c>
      <c r="Q161" s="3">
        <v>768</v>
      </c>
      <c r="R161" s="3">
        <v>630</v>
      </c>
    </row>
    <row r="162" spans="1:18" ht="17.45" customHeight="1" x14ac:dyDescent="0.25">
      <c r="A162" s="2">
        <v>1990</v>
      </c>
      <c r="B162" s="2" t="s">
        <v>4</v>
      </c>
      <c r="C162" s="3">
        <v>172479</v>
      </c>
      <c r="D162" s="3">
        <v>93913</v>
      </c>
      <c r="E162" s="3">
        <v>78566</v>
      </c>
      <c r="F162" s="3">
        <v>5000</v>
      </c>
      <c r="G162" s="3">
        <v>71099</v>
      </c>
      <c r="H162" s="3">
        <v>42819</v>
      </c>
      <c r="I162" s="3">
        <v>28280</v>
      </c>
      <c r="J162" s="3">
        <v>71099</v>
      </c>
      <c r="K162" s="3">
        <v>42817</v>
      </c>
      <c r="L162" s="3">
        <v>28280</v>
      </c>
      <c r="M162" s="13">
        <f t="shared" si="6"/>
        <v>1</v>
      </c>
      <c r="N162" s="13">
        <f t="shared" si="7"/>
        <v>1.0000467104187589</v>
      </c>
      <c r="O162" s="13">
        <f t="shared" si="8"/>
        <v>1</v>
      </c>
      <c r="P162" s="3">
        <v>1974</v>
      </c>
      <c r="Q162" s="3">
        <v>1033</v>
      </c>
      <c r="R162" s="3">
        <v>941</v>
      </c>
    </row>
    <row r="163" spans="1:18" ht="17.45" customHeight="1" x14ac:dyDescent="0.25">
      <c r="A163" s="2">
        <v>2000</v>
      </c>
      <c r="B163" s="2" t="s">
        <v>4</v>
      </c>
      <c r="C163" s="3">
        <v>236581</v>
      </c>
      <c r="D163" s="3">
        <v>130682</v>
      </c>
      <c r="E163" s="3">
        <v>105899</v>
      </c>
      <c r="F163" s="3">
        <v>5000</v>
      </c>
      <c r="G163" s="3">
        <v>147757</v>
      </c>
      <c r="H163" s="3">
        <v>85522</v>
      </c>
      <c r="I163" s="3">
        <v>62235</v>
      </c>
      <c r="J163" s="3">
        <v>139455</v>
      </c>
      <c r="K163" s="3">
        <v>80665</v>
      </c>
      <c r="L163" s="3">
        <v>58790</v>
      </c>
      <c r="M163" s="13">
        <f t="shared" si="6"/>
        <v>1.059531748592736</v>
      </c>
      <c r="N163" s="13">
        <f t="shared" si="7"/>
        <v>1.0602119878509886</v>
      </c>
      <c r="O163" s="13">
        <f t="shared" si="8"/>
        <v>1.0585984010886205</v>
      </c>
      <c r="P163" s="3">
        <v>4047</v>
      </c>
      <c r="Q163" s="3">
        <v>2138</v>
      </c>
      <c r="R163" s="3">
        <v>1909</v>
      </c>
    </row>
    <row r="164" spans="1:18" ht="17.45" customHeight="1" x14ac:dyDescent="0.25">
      <c r="A164" s="8">
        <v>1975</v>
      </c>
      <c r="B164" s="8" t="s">
        <v>37</v>
      </c>
      <c r="C164" s="9">
        <v>744113</v>
      </c>
      <c r="D164" s="9">
        <v>390908</v>
      </c>
      <c r="E164" s="9">
        <v>353205</v>
      </c>
      <c r="F164" s="9">
        <v>10000</v>
      </c>
      <c r="G164" s="9">
        <v>342492</v>
      </c>
      <c r="H164" s="9">
        <v>185662</v>
      </c>
      <c r="I164" s="9">
        <v>156830</v>
      </c>
      <c r="J164" s="9">
        <v>311307</v>
      </c>
      <c r="K164" s="9">
        <v>167214</v>
      </c>
      <c r="L164" s="9">
        <v>144093</v>
      </c>
      <c r="M164" s="14">
        <f t="shared" si="6"/>
        <v>1.1001744258882711</v>
      </c>
      <c r="N164" s="14">
        <f t="shared" si="7"/>
        <v>1.1103256904326193</v>
      </c>
      <c r="O164" s="14">
        <f t="shared" si="8"/>
        <v>1.0883943009028891</v>
      </c>
      <c r="P164" s="9">
        <v>7658</v>
      </c>
      <c r="Q164" s="9">
        <v>3931</v>
      </c>
      <c r="R164" s="9">
        <v>3730</v>
      </c>
    </row>
    <row r="165" spans="1:18" ht="17.45" customHeight="1" x14ac:dyDescent="0.25">
      <c r="A165" s="8">
        <v>1980</v>
      </c>
      <c r="B165" s="8" t="s">
        <v>37</v>
      </c>
      <c r="C165" s="9">
        <v>856271</v>
      </c>
      <c r="D165" s="9">
        <v>437823</v>
      </c>
      <c r="E165" s="9">
        <v>418448</v>
      </c>
      <c r="F165" s="9">
        <v>25000</v>
      </c>
      <c r="G165" s="9">
        <v>354321</v>
      </c>
      <c r="H165" s="9">
        <v>186280</v>
      </c>
      <c r="I165" s="9">
        <v>168041</v>
      </c>
      <c r="J165" s="9">
        <v>366550</v>
      </c>
      <c r="K165" s="9">
        <v>188993</v>
      </c>
      <c r="L165" s="9">
        <v>177557</v>
      </c>
      <c r="M165" s="14">
        <f t="shared" si="6"/>
        <v>0.96663756649843136</v>
      </c>
      <c r="N165" s="14">
        <f t="shared" si="7"/>
        <v>0.98564497097776105</v>
      </c>
      <c r="O165" s="14">
        <f t="shared" si="8"/>
        <v>0.94640594288031454</v>
      </c>
      <c r="P165" s="9">
        <v>9693</v>
      </c>
      <c r="Q165" s="9">
        <v>4830</v>
      </c>
      <c r="R165" s="9">
        <v>4870</v>
      </c>
    </row>
    <row r="166" spans="1:18" ht="17.45" customHeight="1" x14ac:dyDescent="0.25">
      <c r="A166" s="8">
        <v>1985</v>
      </c>
      <c r="B166" s="8" t="s">
        <v>37</v>
      </c>
      <c r="C166" s="9">
        <v>1002252</v>
      </c>
      <c r="D166" s="9">
        <v>506296</v>
      </c>
      <c r="E166" s="9">
        <v>495956</v>
      </c>
      <c r="F166" s="9">
        <v>20000</v>
      </c>
      <c r="G166" s="9">
        <v>437741</v>
      </c>
      <c r="H166" s="9">
        <v>231562</v>
      </c>
      <c r="I166" s="9">
        <v>206179</v>
      </c>
      <c r="J166" s="9">
        <v>428845</v>
      </c>
      <c r="K166" s="9">
        <v>220154</v>
      </c>
      <c r="L166" s="9">
        <v>208691</v>
      </c>
      <c r="M166" s="14">
        <f t="shared" si="6"/>
        <v>1.0207440916881392</v>
      </c>
      <c r="N166" s="14">
        <f t="shared" si="7"/>
        <v>1.0518182726636809</v>
      </c>
      <c r="O166" s="14">
        <f t="shared" si="8"/>
        <v>0.98796306500999087</v>
      </c>
      <c r="P166" s="9">
        <v>10028</v>
      </c>
      <c r="Q166" s="9">
        <v>4945</v>
      </c>
      <c r="R166" s="9">
        <v>5096</v>
      </c>
    </row>
    <row r="167" spans="1:18" ht="17.45" customHeight="1" x14ac:dyDescent="0.25">
      <c r="A167" s="8">
        <v>1990</v>
      </c>
      <c r="B167" s="8" t="s">
        <v>37</v>
      </c>
      <c r="C167" s="9">
        <v>1109754</v>
      </c>
      <c r="D167" s="9">
        <v>556548</v>
      </c>
      <c r="E167" s="9">
        <v>553206</v>
      </c>
      <c r="F167" s="9">
        <v>20000</v>
      </c>
      <c r="G167" s="9">
        <v>519177</v>
      </c>
      <c r="H167" s="9">
        <v>262878</v>
      </c>
      <c r="I167" s="9">
        <v>256299</v>
      </c>
      <c r="J167" s="9">
        <v>531707</v>
      </c>
      <c r="K167" s="9">
        <v>268762</v>
      </c>
      <c r="L167" s="9">
        <v>262945</v>
      </c>
      <c r="M167" s="14">
        <f t="shared" si="6"/>
        <v>0.97643438961683782</v>
      </c>
      <c r="N167" s="14">
        <f t="shared" si="7"/>
        <v>0.97810702405846062</v>
      </c>
      <c r="O167" s="14">
        <f t="shared" si="8"/>
        <v>0.97472475232463063</v>
      </c>
      <c r="P167" s="9">
        <v>11785</v>
      </c>
      <c r="Q167" s="9">
        <v>5947</v>
      </c>
      <c r="R167" s="9">
        <v>5838</v>
      </c>
    </row>
    <row r="168" spans="1:18" ht="17.45" customHeight="1" x14ac:dyDescent="0.25">
      <c r="A168" s="8">
        <v>2000</v>
      </c>
      <c r="B168" s="8" t="s">
        <v>37</v>
      </c>
      <c r="C168" s="9">
        <v>1253726</v>
      </c>
      <c r="D168" s="9">
        <v>621505</v>
      </c>
      <c r="E168" s="9">
        <v>632221</v>
      </c>
      <c r="F168" s="9">
        <v>20000</v>
      </c>
      <c r="G168" s="9">
        <v>585954</v>
      </c>
      <c r="H168" s="9">
        <v>289164</v>
      </c>
      <c r="I168" s="9">
        <v>296790</v>
      </c>
      <c r="J168" s="9">
        <v>581341</v>
      </c>
      <c r="K168" s="9">
        <v>287199</v>
      </c>
      <c r="L168" s="9">
        <v>294142</v>
      </c>
      <c r="M168" s="14">
        <f t="shared" si="6"/>
        <v>1.0079351017733138</v>
      </c>
      <c r="N168" s="14">
        <f t="shared" si="7"/>
        <v>1.0068419458285023</v>
      </c>
      <c r="O168" s="14">
        <f t="shared" si="8"/>
        <v>1.0090024545967593</v>
      </c>
      <c r="P168" s="9">
        <v>12244</v>
      </c>
      <c r="Q168" s="9">
        <v>6312</v>
      </c>
      <c r="R168" s="9">
        <v>5933</v>
      </c>
    </row>
    <row r="169" spans="1:18" ht="17.45" customHeight="1" x14ac:dyDescent="0.25">
      <c r="A169" s="2">
        <v>2000</v>
      </c>
      <c r="B169" s="2" t="s">
        <v>51</v>
      </c>
      <c r="C169" s="3">
        <v>168634</v>
      </c>
      <c r="D169" s="3">
        <v>87083</v>
      </c>
      <c r="E169" s="3">
        <v>81551</v>
      </c>
      <c r="F169" s="3">
        <v>5000</v>
      </c>
      <c r="G169" s="3">
        <v>82293</v>
      </c>
      <c r="H169" s="3">
        <v>43041</v>
      </c>
      <c r="I169" s="3">
        <v>39252</v>
      </c>
      <c r="J169" s="3">
        <v>81582</v>
      </c>
      <c r="K169" s="3">
        <v>43190</v>
      </c>
      <c r="L169" s="3">
        <v>38392</v>
      </c>
      <c r="M169" s="13">
        <f t="shared" si="6"/>
        <v>1.0087151577553872</v>
      </c>
      <c r="N169" s="13">
        <f t="shared" si="7"/>
        <v>0.99655012734429271</v>
      </c>
      <c r="O169" s="13">
        <f t="shared" si="8"/>
        <v>1.0224005001041885</v>
      </c>
      <c r="P169" s="3">
        <v>2005</v>
      </c>
      <c r="Q169" s="3">
        <v>1096</v>
      </c>
      <c r="R169" s="3">
        <v>910</v>
      </c>
    </row>
    <row r="170" spans="1:18" ht="17.45" customHeight="1" x14ac:dyDescent="0.25">
      <c r="A170" s="8">
        <v>1975</v>
      </c>
      <c r="B170" s="8" t="s">
        <v>52</v>
      </c>
      <c r="C170" s="9">
        <v>322685</v>
      </c>
      <c r="D170" s="9">
        <v>167062</v>
      </c>
      <c r="E170" s="9">
        <v>155623</v>
      </c>
      <c r="F170" s="9">
        <v>5000</v>
      </c>
      <c r="G170" s="9">
        <v>122844</v>
      </c>
      <c r="H170" s="9">
        <v>67974</v>
      </c>
      <c r="I170" s="9">
        <v>54870</v>
      </c>
      <c r="J170" s="9">
        <v>132240</v>
      </c>
      <c r="K170" s="9">
        <v>73016</v>
      </c>
      <c r="L170" s="9">
        <v>59224</v>
      </c>
      <c r="M170" s="14">
        <f t="shared" si="6"/>
        <v>0.92894736842105263</v>
      </c>
      <c r="N170" s="14">
        <f t="shared" si="7"/>
        <v>0.93094664183192721</v>
      </c>
      <c r="O170" s="14">
        <f t="shared" si="8"/>
        <v>0.92648250709171953</v>
      </c>
      <c r="P170" s="9">
        <v>2619</v>
      </c>
      <c r="Q170" s="9">
        <v>1416</v>
      </c>
      <c r="R170" s="9">
        <v>1203</v>
      </c>
    </row>
    <row r="171" spans="1:18" ht="17.45" customHeight="1" x14ac:dyDescent="0.25">
      <c r="A171" s="8">
        <v>1980</v>
      </c>
      <c r="B171" s="8" t="s">
        <v>52</v>
      </c>
      <c r="C171" s="9">
        <v>350116</v>
      </c>
      <c r="D171" s="9">
        <v>182383</v>
      </c>
      <c r="E171" s="9">
        <v>167733</v>
      </c>
      <c r="F171" s="9">
        <v>5000</v>
      </c>
      <c r="G171" s="9">
        <v>152133</v>
      </c>
      <c r="H171" s="9">
        <v>86388</v>
      </c>
      <c r="I171" s="9">
        <v>65745</v>
      </c>
      <c r="J171" s="9">
        <v>158251</v>
      </c>
      <c r="K171" s="9">
        <v>89467</v>
      </c>
      <c r="L171" s="9">
        <v>68784</v>
      </c>
      <c r="M171" s="14">
        <f t="shared" si="6"/>
        <v>0.96133989674630804</v>
      </c>
      <c r="N171" s="14">
        <f t="shared" si="7"/>
        <v>0.96558507606156463</v>
      </c>
      <c r="O171" s="14">
        <f t="shared" si="8"/>
        <v>0.95581821353803209</v>
      </c>
      <c r="P171" s="9">
        <v>2886</v>
      </c>
      <c r="Q171" s="9">
        <v>801</v>
      </c>
      <c r="R171" s="9">
        <v>2093</v>
      </c>
    </row>
    <row r="172" spans="1:18" ht="17.45" customHeight="1" x14ac:dyDescent="0.25">
      <c r="A172" s="8">
        <v>1985</v>
      </c>
      <c r="B172" s="8" t="s">
        <v>52</v>
      </c>
      <c r="C172" s="9">
        <v>382844</v>
      </c>
      <c r="D172" s="9">
        <v>198171</v>
      </c>
      <c r="E172" s="9">
        <v>184673</v>
      </c>
      <c r="F172" s="9">
        <v>5000</v>
      </c>
      <c r="G172" s="9">
        <v>176787</v>
      </c>
      <c r="H172" s="9">
        <v>97186</v>
      </c>
      <c r="I172" s="9">
        <v>79601</v>
      </c>
      <c r="J172" s="9">
        <v>183298</v>
      </c>
      <c r="K172" s="9">
        <v>100399</v>
      </c>
      <c r="L172" s="9">
        <v>82899</v>
      </c>
      <c r="M172" s="14">
        <f t="shared" si="6"/>
        <v>0.96447860860456747</v>
      </c>
      <c r="N172" s="14">
        <f t="shared" si="7"/>
        <v>0.96799768922001217</v>
      </c>
      <c r="O172" s="14">
        <f t="shared" si="8"/>
        <v>0.96021664917550276</v>
      </c>
      <c r="P172" s="9">
        <v>2751</v>
      </c>
      <c r="Q172" s="9">
        <v>1423</v>
      </c>
      <c r="R172" s="9">
        <v>1329</v>
      </c>
    </row>
    <row r="173" spans="1:18" ht="17.45" customHeight="1" x14ac:dyDescent="0.25">
      <c r="A173" s="8">
        <v>1990</v>
      </c>
      <c r="B173" s="8" t="s">
        <v>52</v>
      </c>
      <c r="C173" s="9">
        <v>434771</v>
      </c>
      <c r="D173" s="9">
        <v>224403</v>
      </c>
      <c r="E173" s="9">
        <v>210368</v>
      </c>
      <c r="F173" s="9">
        <v>5000</v>
      </c>
      <c r="G173" s="9">
        <v>228027</v>
      </c>
      <c r="H173" s="9">
        <v>124203</v>
      </c>
      <c r="I173" s="9">
        <v>103824</v>
      </c>
      <c r="J173" s="9">
        <v>229574</v>
      </c>
      <c r="K173" s="9">
        <v>125176</v>
      </c>
      <c r="L173" s="9">
        <v>104398</v>
      </c>
      <c r="M173" s="14">
        <f t="shared" si="6"/>
        <v>0.99326143204369832</v>
      </c>
      <c r="N173" s="14">
        <f t="shared" si="7"/>
        <v>0.99222694446219728</v>
      </c>
      <c r="O173" s="14">
        <f t="shared" si="8"/>
        <v>0.99450181037950913</v>
      </c>
      <c r="P173" s="9">
        <v>3286</v>
      </c>
      <c r="Q173" s="9">
        <v>1738</v>
      </c>
      <c r="R173" s="9">
        <v>1549</v>
      </c>
    </row>
    <row r="174" spans="1:18" ht="17.45" customHeight="1" x14ac:dyDescent="0.25">
      <c r="A174" s="8">
        <v>2000</v>
      </c>
      <c r="B174" s="8" t="s">
        <v>52</v>
      </c>
      <c r="C174" s="9">
        <v>513681</v>
      </c>
      <c r="D174" s="9">
        <v>270782</v>
      </c>
      <c r="E174" s="9">
        <v>242899</v>
      </c>
      <c r="F174" s="9">
        <v>5000</v>
      </c>
      <c r="G174" s="9">
        <v>318826</v>
      </c>
      <c r="H174" s="9">
        <v>173077</v>
      </c>
      <c r="I174" s="9">
        <v>145749</v>
      </c>
      <c r="J174" s="9">
        <v>301561</v>
      </c>
      <c r="K174" s="9">
        <v>164195</v>
      </c>
      <c r="L174" s="9">
        <v>137366</v>
      </c>
      <c r="M174" s="14">
        <f t="shared" si="6"/>
        <v>1.0572520982487787</v>
      </c>
      <c r="N174" s="14">
        <f t="shared" si="7"/>
        <v>1.0540942172416943</v>
      </c>
      <c r="O174" s="14">
        <f t="shared" si="8"/>
        <v>1.0610267460652563</v>
      </c>
      <c r="P174" s="9">
        <v>3862</v>
      </c>
      <c r="Q174" s="9">
        <v>1908</v>
      </c>
      <c r="R174" s="9">
        <v>1953</v>
      </c>
    </row>
    <row r="175" spans="1:18" ht="17.45" customHeight="1" x14ac:dyDescent="0.25">
      <c r="A175" s="2">
        <v>1970</v>
      </c>
      <c r="B175" s="2" t="s">
        <v>21</v>
      </c>
      <c r="C175" s="3">
        <v>3019032</v>
      </c>
      <c r="D175" s="3">
        <v>1624658</v>
      </c>
      <c r="E175" s="3">
        <v>1394374</v>
      </c>
      <c r="F175" s="3">
        <v>10000</v>
      </c>
      <c r="G175" s="3">
        <v>2350319</v>
      </c>
      <c r="H175" s="3">
        <v>1262024</v>
      </c>
      <c r="I175" s="3">
        <v>1088295</v>
      </c>
      <c r="J175" s="3">
        <v>2203337</v>
      </c>
      <c r="K175" s="3">
        <v>1183864</v>
      </c>
      <c r="L175" s="3">
        <v>1019473</v>
      </c>
      <c r="M175" s="13">
        <f t="shared" si="6"/>
        <v>1.0667088148567379</v>
      </c>
      <c r="N175" s="13">
        <f t="shared" si="7"/>
        <v>1.0660210970179007</v>
      </c>
      <c r="O175" s="13">
        <f t="shared" si="8"/>
        <v>1.0675074278573342</v>
      </c>
      <c r="P175" s="3">
        <v>46648</v>
      </c>
      <c r="Q175" s="3">
        <v>23349</v>
      </c>
      <c r="R175" s="3">
        <v>23297</v>
      </c>
    </row>
    <row r="176" spans="1:18" ht="17.45" customHeight="1" x14ac:dyDescent="0.25">
      <c r="A176" s="2">
        <v>1975</v>
      </c>
      <c r="B176" s="2" t="s">
        <v>21</v>
      </c>
      <c r="C176" s="3">
        <v>3904588</v>
      </c>
      <c r="D176" s="3">
        <v>2064250</v>
      </c>
      <c r="E176" s="3">
        <v>1840338</v>
      </c>
      <c r="F176" s="3">
        <v>100000</v>
      </c>
      <c r="G176" s="3">
        <v>2507271</v>
      </c>
      <c r="H176" s="3">
        <v>1319566</v>
      </c>
      <c r="I176" s="3">
        <v>1187705</v>
      </c>
      <c r="J176" s="3">
        <v>2648006</v>
      </c>
      <c r="K176" s="3">
        <v>1392123</v>
      </c>
      <c r="L176" s="3">
        <v>1255883</v>
      </c>
      <c r="M176" s="13">
        <f t="shared" si="6"/>
        <v>0.94685246181466354</v>
      </c>
      <c r="N176" s="13">
        <f t="shared" si="7"/>
        <v>0.94788032379322806</v>
      </c>
      <c r="O176" s="13">
        <f t="shared" si="8"/>
        <v>0.94571309588552432</v>
      </c>
      <c r="P176" s="3">
        <v>97771</v>
      </c>
      <c r="Q176" s="3">
        <v>43509</v>
      </c>
      <c r="R176" s="3">
        <v>54281</v>
      </c>
    </row>
    <row r="177" spans="1:18" ht="17.45" customHeight="1" x14ac:dyDescent="0.25">
      <c r="A177" s="2">
        <v>1980</v>
      </c>
      <c r="B177" s="2" t="s">
        <v>21</v>
      </c>
      <c r="C177" s="3">
        <v>4741890</v>
      </c>
      <c r="D177" s="3">
        <v>2482247</v>
      </c>
      <c r="E177" s="3">
        <v>2259643</v>
      </c>
      <c r="F177" s="3">
        <v>100000</v>
      </c>
      <c r="G177" s="3">
        <v>3008720</v>
      </c>
      <c r="H177" s="3">
        <v>1554133</v>
      </c>
      <c r="I177" s="3">
        <v>1454587</v>
      </c>
      <c r="J177" s="3">
        <v>2909455</v>
      </c>
      <c r="K177" s="3">
        <v>1511490</v>
      </c>
      <c r="L177" s="3">
        <v>1397965</v>
      </c>
      <c r="M177" s="13">
        <f t="shared" si="6"/>
        <v>1.0341180736598434</v>
      </c>
      <c r="N177" s="13">
        <f t="shared" si="7"/>
        <v>1.0282125584687958</v>
      </c>
      <c r="O177" s="13">
        <f t="shared" si="8"/>
        <v>1.0405031599503565</v>
      </c>
      <c r="P177" s="3">
        <v>60265</v>
      </c>
      <c r="Q177" s="3">
        <v>31115</v>
      </c>
      <c r="R177" s="3">
        <v>29147</v>
      </c>
    </row>
    <row r="178" spans="1:18" ht="17.45" customHeight="1" x14ac:dyDescent="0.25">
      <c r="A178" s="2">
        <v>1985</v>
      </c>
      <c r="B178" s="2" t="s">
        <v>21</v>
      </c>
      <c r="C178" s="3">
        <v>5842985</v>
      </c>
      <c r="D178" s="3">
        <v>3041847</v>
      </c>
      <c r="E178" s="3">
        <v>2801138</v>
      </c>
      <c r="F178" s="3">
        <v>25000</v>
      </c>
      <c r="G178" s="3">
        <v>5515054</v>
      </c>
      <c r="H178" s="3">
        <v>2861664</v>
      </c>
      <c r="I178" s="3">
        <v>2653390</v>
      </c>
      <c r="J178" s="3">
        <v>5560908</v>
      </c>
      <c r="K178" s="3">
        <v>2887224</v>
      </c>
      <c r="L178" s="3">
        <v>2673684</v>
      </c>
      <c r="M178" s="13">
        <f t="shared" si="6"/>
        <v>0.99175422431013061</v>
      </c>
      <c r="N178" s="13">
        <f t="shared" si="7"/>
        <v>0.99114720575888815</v>
      </c>
      <c r="O178" s="13">
        <f t="shared" si="8"/>
        <v>0.99240972381178927</v>
      </c>
      <c r="P178" s="3">
        <v>97299</v>
      </c>
      <c r="Q178" s="3">
        <v>49629</v>
      </c>
      <c r="R178" s="3">
        <v>47669</v>
      </c>
    </row>
    <row r="179" spans="1:18" ht="17.45" customHeight="1" x14ac:dyDescent="0.25">
      <c r="A179" s="2">
        <v>1990</v>
      </c>
      <c r="B179" s="2" t="s">
        <v>21</v>
      </c>
      <c r="C179" s="3">
        <v>7309190</v>
      </c>
      <c r="D179" s="3">
        <v>3798761</v>
      </c>
      <c r="E179" s="3">
        <v>3510429</v>
      </c>
      <c r="F179" s="3">
        <v>25000</v>
      </c>
      <c r="G179" s="3">
        <v>6845278</v>
      </c>
      <c r="H179" s="3">
        <v>3542178</v>
      </c>
      <c r="I179" s="3">
        <v>3303100</v>
      </c>
      <c r="J179" s="3">
        <v>6753929</v>
      </c>
      <c r="K179" s="3">
        <v>3494553</v>
      </c>
      <c r="L179" s="3">
        <v>3259376</v>
      </c>
      <c r="M179" s="13">
        <f t="shared" si="6"/>
        <v>1.0135253124514634</v>
      </c>
      <c r="N179" s="13">
        <f t="shared" si="7"/>
        <v>1.013628352467397</v>
      </c>
      <c r="O179" s="13">
        <f t="shared" si="8"/>
        <v>1.0134148376867229</v>
      </c>
      <c r="P179" s="3">
        <v>123619</v>
      </c>
      <c r="Q179" s="3">
        <v>63557</v>
      </c>
      <c r="R179" s="3">
        <v>60062</v>
      </c>
    </row>
    <row r="180" spans="1:18" ht="17.45" customHeight="1" x14ac:dyDescent="0.25">
      <c r="A180" s="2">
        <v>2000</v>
      </c>
      <c r="B180" s="2" t="s">
        <v>21</v>
      </c>
      <c r="C180" s="3">
        <v>10018735</v>
      </c>
      <c r="D180" s="3">
        <v>5088535</v>
      </c>
      <c r="E180" s="3">
        <v>4930200</v>
      </c>
      <c r="F180" s="3">
        <v>100000</v>
      </c>
      <c r="G180" s="3">
        <v>9054754</v>
      </c>
      <c r="H180" s="3">
        <v>4572214</v>
      </c>
      <c r="I180" s="3">
        <v>4482540</v>
      </c>
      <c r="J180" s="3">
        <v>9085599</v>
      </c>
      <c r="K180" s="3">
        <v>4596454</v>
      </c>
      <c r="L180" s="3">
        <v>4489145</v>
      </c>
      <c r="M180" s="13">
        <f t="shared" si="6"/>
        <v>0.99660506698567697</v>
      </c>
      <c r="N180" s="13">
        <f t="shared" si="7"/>
        <v>0.99472636950135906</v>
      </c>
      <c r="O180" s="13">
        <f t="shared" si="8"/>
        <v>0.99852867305466853</v>
      </c>
      <c r="P180" s="3">
        <v>149273</v>
      </c>
      <c r="Q180" s="3">
        <v>76762</v>
      </c>
      <c r="R180" s="3">
        <v>72516</v>
      </c>
    </row>
    <row r="181" spans="1:18" ht="17.45" customHeight="1" x14ac:dyDescent="0.25">
      <c r="A181" s="8">
        <v>1970</v>
      </c>
      <c r="B181" s="8" t="s">
        <v>22</v>
      </c>
      <c r="C181" s="9">
        <v>1427173</v>
      </c>
      <c r="D181" s="9">
        <v>739429</v>
      </c>
      <c r="E181" s="9">
        <v>687744</v>
      </c>
      <c r="F181" s="9">
        <v>25000</v>
      </c>
      <c r="G181" s="9">
        <v>767439</v>
      </c>
      <c r="H181" s="9">
        <v>398000</v>
      </c>
      <c r="I181" s="9">
        <v>369439</v>
      </c>
      <c r="J181" s="9">
        <v>753041</v>
      </c>
      <c r="K181" s="9">
        <v>391502</v>
      </c>
      <c r="L181" s="9">
        <v>361539</v>
      </c>
      <c r="M181" s="14">
        <f t="shared" si="6"/>
        <v>1.019119808881588</v>
      </c>
      <c r="N181" s="14">
        <f t="shared" si="7"/>
        <v>1.0165976163595589</v>
      </c>
      <c r="O181" s="14">
        <f t="shared" si="8"/>
        <v>1.0218510312856981</v>
      </c>
      <c r="P181" s="9">
        <v>18816</v>
      </c>
      <c r="Q181" s="9">
        <v>8949</v>
      </c>
      <c r="R181" s="9">
        <v>9862</v>
      </c>
    </row>
    <row r="182" spans="1:18" ht="17.45" customHeight="1" x14ac:dyDescent="0.25">
      <c r="A182" s="8">
        <v>1980</v>
      </c>
      <c r="B182" s="8" t="s">
        <v>22</v>
      </c>
      <c r="C182" s="9">
        <v>1976763</v>
      </c>
      <c r="D182" s="9">
        <v>1021989</v>
      </c>
      <c r="E182" s="9">
        <v>954774</v>
      </c>
      <c r="F182" s="9">
        <v>25000</v>
      </c>
      <c r="G182" s="9">
        <v>1249110</v>
      </c>
      <c r="H182" s="9">
        <v>643973</v>
      </c>
      <c r="I182" s="9">
        <v>605137</v>
      </c>
      <c r="J182" s="9">
        <v>1059183</v>
      </c>
      <c r="K182" s="9">
        <v>544957</v>
      </c>
      <c r="L182" s="9">
        <v>514226</v>
      </c>
      <c r="M182" s="14">
        <f t="shared" si="6"/>
        <v>1.1793146226855982</v>
      </c>
      <c r="N182" s="14">
        <f t="shared" si="7"/>
        <v>1.1816950695192465</v>
      </c>
      <c r="O182" s="14">
        <f t="shared" si="8"/>
        <v>1.1767919163947369</v>
      </c>
      <c r="P182" s="9">
        <v>22515</v>
      </c>
      <c r="Q182" s="9">
        <v>11456</v>
      </c>
      <c r="R182" s="9">
        <v>11059</v>
      </c>
    </row>
    <row r="183" spans="1:18" ht="17.45" customHeight="1" x14ac:dyDescent="0.25">
      <c r="A183" s="8">
        <v>1985</v>
      </c>
      <c r="B183" s="8" t="s">
        <v>22</v>
      </c>
      <c r="C183" s="9">
        <v>2317829</v>
      </c>
      <c r="D183" s="9">
        <v>1198236</v>
      </c>
      <c r="E183" s="9">
        <v>1119593</v>
      </c>
      <c r="F183" s="9">
        <v>10000</v>
      </c>
      <c r="G183" s="9">
        <v>1765372</v>
      </c>
      <c r="H183" s="9">
        <v>915123</v>
      </c>
      <c r="I183" s="9">
        <v>850249</v>
      </c>
      <c r="J183" s="9">
        <v>1800797</v>
      </c>
      <c r="K183" s="9">
        <v>936500</v>
      </c>
      <c r="L183" s="9">
        <v>864297</v>
      </c>
      <c r="M183" s="14">
        <f t="shared" si="6"/>
        <v>0.98032815470039103</v>
      </c>
      <c r="N183" s="14">
        <f t="shared" si="7"/>
        <v>0.97717351841964761</v>
      </c>
      <c r="O183" s="14">
        <f t="shared" si="8"/>
        <v>0.9837463279405112</v>
      </c>
      <c r="P183" s="9">
        <v>29655</v>
      </c>
      <c r="Q183" s="9">
        <v>15317</v>
      </c>
      <c r="R183" s="9">
        <v>14338</v>
      </c>
    </row>
    <row r="184" spans="1:18" ht="17.45" customHeight="1" x14ac:dyDescent="0.25">
      <c r="A184" s="8">
        <v>1990</v>
      </c>
      <c r="B184" s="8" t="s">
        <v>22</v>
      </c>
      <c r="C184" s="9">
        <v>2694770</v>
      </c>
      <c r="D184" s="9">
        <v>1379778</v>
      </c>
      <c r="E184" s="9">
        <v>1314992</v>
      </c>
      <c r="F184" s="9">
        <v>10000</v>
      </c>
      <c r="G184" s="9">
        <v>2110931</v>
      </c>
      <c r="H184" s="9">
        <v>1084506</v>
      </c>
      <c r="I184" s="9">
        <v>1026425</v>
      </c>
      <c r="J184" s="9">
        <v>2134816</v>
      </c>
      <c r="K184" s="9">
        <v>1096597</v>
      </c>
      <c r="L184" s="9">
        <v>1038219</v>
      </c>
      <c r="M184" s="14">
        <f t="shared" si="6"/>
        <v>0.98881168213091897</v>
      </c>
      <c r="N184" s="14">
        <f t="shared" si="7"/>
        <v>0.98897407160515671</v>
      </c>
      <c r="O184" s="14">
        <f t="shared" si="8"/>
        <v>0.98864016166146063</v>
      </c>
      <c r="P184" s="9">
        <v>36179</v>
      </c>
      <c r="Q184" s="9">
        <v>18408</v>
      </c>
      <c r="R184" s="9">
        <v>17771</v>
      </c>
    </row>
    <row r="185" spans="1:18" ht="17.45" customHeight="1" x14ac:dyDescent="0.25">
      <c r="A185" s="8">
        <v>2000</v>
      </c>
      <c r="B185" s="8" t="s">
        <v>22</v>
      </c>
      <c r="C185" s="9">
        <v>3370866</v>
      </c>
      <c r="D185" s="9">
        <v>1698819</v>
      </c>
      <c r="E185" s="9">
        <v>1672047</v>
      </c>
      <c r="F185" s="9">
        <v>10000</v>
      </c>
      <c r="G185" s="9">
        <v>2793516</v>
      </c>
      <c r="H185" s="9">
        <v>1406134</v>
      </c>
      <c r="I185" s="9">
        <v>1387382</v>
      </c>
      <c r="J185" s="9">
        <v>2732669</v>
      </c>
      <c r="K185" s="9">
        <v>1372420</v>
      </c>
      <c r="L185" s="9">
        <v>1360249</v>
      </c>
      <c r="M185" s="14">
        <f t="shared" si="6"/>
        <v>1.0222665094089332</v>
      </c>
      <c r="N185" s="14">
        <f t="shared" si="7"/>
        <v>1.0245653662872882</v>
      </c>
      <c r="O185" s="14">
        <f t="shared" si="8"/>
        <v>1.0199470832178521</v>
      </c>
      <c r="P185" s="9">
        <v>37490</v>
      </c>
      <c r="Q185" s="9">
        <v>19408</v>
      </c>
      <c r="R185" s="9">
        <v>18079</v>
      </c>
    </row>
    <row r="186" spans="1:18" ht="17.45" customHeight="1" x14ac:dyDescent="0.25">
      <c r="A186" s="2">
        <v>1975</v>
      </c>
      <c r="B186" s="2" t="s">
        <v>53</v>
      </c>
      <c r="C186" s="3">
        <v>641480</v>
      </c>
      <c r="D186" s="3">
        <v>330443</v>
      </c>
      <c r="E186" s="3">
        <v>311037</v>
      </c>
      <c r="F186" s="3">
        <v>10000</v>
      </c>
      <c r="G186" s="3">
        <v>206485</v>
      </c>
      <c r="H186" s="3">
        <v>110259</v>
      </c>
      <c r="I186" s="3">
        <v>96226</v>
      </c>
      <c r="J186" s="3">
        <v>220710</v>
      </c>
      <c r="K186" s="3">
        <v>117725</v>
      </c>
      <c r="L186" s="3">
        <v>102985</v>
      </c>
      <c r="M186" s="13">
        <f t="shared" si="6"/>
        <v>0.93554891033482845</v>
      </c>
      <c r="N186" s="13">
        <f t="shared" si="7"/>
        <v>0.93658101507751113</v>
      </c>
      <c r="O186" s="13">
        <f t="shared" si="8"/>
        <v>0.93436908287614706</v>
      </c>
      <c r="P186" s="3">
        <v>6310</v>
      </c>
      <c r="Q186" s="3">
        <v>3322</v>
      </c>
      <c r="R186" s="3">
        <v>2988</v>
      </c>
    </row>
    <row r="187" spans="1:18" ht="17.45" customHeight="1" x14ac:dyDescent="0.25">
      <c r="A187" s="2">
        <v>1980</v>
      </c>
      <c r="B187" s="2" t="s">
        <v>53</v>
      </c>
      <c r="C187" s="3">
        <v>738032</v>
      </c>
      <c r="D187" s="3">
        <v>377607</v>
      </c>
      <c r="E187" s="3">
        <v>360425</v>
      </c>
      <c r="F187" s="3">
        <v>10000</v>
      </c>
      <c r="G187" s="3">
        <v>266957</v>
      </c>
      <c r="H187" s="3">
        <v>141112</v>
      </c>
      <c r="I187" s="3">
        <v>125845</v>
      </c>
      <c r="J187" s="3">
        <v>281382</v>
      </c>
      <c r="K187" s="3">
        <v>148550</v>
      </c>
      <c r="L187" s="3">
        <v>132832</v>
      </c>
      <c r="M187" s="13">
        <f t="shared" si="6"/>
        <v>0.94873517140399888</v>
      </c>
      <c r="N187" s="13">
        <f t="shared" si="7"/>
        <v>0.94992931672837433</v>
      </c>
      <c r="O187" s="13">
        <f t="shared" si="8"/>
        <v>0.94739972295832331</v>
      </c>
      <c r="P187" s="3">
        <v>6153</v>
      </c>
      <c r="Q187" s="3">
        <v>3221</v>
      </c>
      <c r="R187" s="3">
        <v>2932</v>
      </c>
    </row>
    <row r="188" spans="1:18" ht="17.45" customHeight="1" x14ac:dyDescent="0.25">
      <c r="A188" s="2">
        <v>1985</v>
      </c>
      <c r="B188" s="2" t="s">
        <v>53</v>
      </c>
      <c r="C188" s="3">
        <v>840472</v>
      </c>
      <c r="D188" s="3">
        <v>426554</v>
      </c>
      <c r="E188" s="3">
        <v>413918</v>
      </c>
      <c r="F188" s="3">
        <v>10000</v>
      </c>
      <c r="G188" s="3">
        <v>336306</v>
      </c>
      <c r="H188" s="3">
        <v>176115</v>
      </c>
      <c r="I188" s="3">
        <v>160191</v>
      </c>
      <c r="J188" s="3">
        <v>342428</v>
      </c>
      <c r="K188" s="3">
        <v>179244</v>
      </c>
      <c r="L188" s="3">
        <v>163184</v>
      </c>
      <c r="M188" s="13">
        <f t="shared" si="6"/>
        <v>0.9821217891060311</v>
      </c>
      <c r="N188" s="13">
        <f t="shared" si="7"/>
        <v>0.98254334873133831</v>
      </c>
      <c r="O188" s="13">
        <f t="shared" si="8"/>
        <v>0.9816587410530444</v>
      </c>
      <c r="P188" s="3">
        <v>7200</v>
      </c>
      <c r="Q188" s="3">
        <v>3698</v>
      </c>
      <c r="R188" s="3">
        <v>3502</v>
      </c>
    </row>
    <row r="189" spans="1:18" ht="17.45" customHeight="1" x14ac:dyDescent="0.25">
      <c r="A189" s="2">
        <v>1990</v>
      </c>
      <c r="B189" s="2" t="s">
        <v>53</v>
      </c>
      <c r="C189" s="3">
        <v>892952</v>
      </c>
      <c r="D189" s="3">
        <v>450243</v>
      </c>
      <c r="E189" s="3">
        <v>442709</v>
      </c>
      <c r="F189" s="3">
        <v>10000</v>
      </c>
      <c r="G189" s="3">
        <v>384438</v>
      </c>
      <c r="H189" s="3">
        <v>198516</v>
      </c>
      <c r="I189" s="3">
        <v>185922</v>
      </c>
      <c r="J189" s="3">
        <v>407215</v>
      </c>
      <c r="K189" s="3">
        <v>210156</v>
      </c>
      <c r="L189" s="3">
        <v>197059</v>
      </c>
      <c r="M189" s="13">
        <f t="shared" si="6"/>
        <v>0.94406640226907157</v>
      </c>
      <c r="N189" s="13">
        <f t="shared" si="7"/>
        <v>0.94461257351681605</v>
      </c>
      <c r="O189" s="13">
        <f t="shared" si="8"/>
        <v>0.94348393120841978</v>
      </c>
      <c r="P189" s="3">
        <v>8694</v>
      </c>
      <c r="Q189" s="3">
        <v>4479</v>
      </c>
      <c r="R189" s="3">
        <v>4215</v>
      </c>
    </row>
    <row r="190" spans="1:18" ht="17.45" customHeight="1" x14ac:dyDescent="0.25">
      <c r="A190" s="2">
        <v>2000</v>
      </c>
      <c r="B190" s="2" t="s">
        <v>53</v>
      </c>
      <c r="C190" s="3">
        <v>1002384</v>
      </c>
      <c r="D190" s="3">
        <v>510662</v>
      </c>
      <c r="E190" s="3">
        <v>491722</v>
      </c>
      <c r="F190" s="3">
        <v>10000</v>
      </c>
      <c r="G190" s="3">
        <v>512698</v>
      </c>
      <c r="H190" s="3">
        <v>265166</v>
      </c>
      <c r="I190" s="3">
        <v>247532</v>
      </c>
      <c r="J190" s="3">
        <v>536007</v>
      </c>
      <c r="K190" s="3">
        <v>277087</v>
      </c>
      <c r="L190" s="3">
        <v>258920</v>
      </c>
      <c r="M190" s="13">
        <f t="shared" si="6"/>
        <v>0.95651362762053482</v>
      </c>
      <c r="N190" s="13">
        <f t="shared" si="7"/>
        <v>0.95697741142673598</v>
      </c>
      <c r="O190" s="13">
        <f t="shared" si="8"/>
        <v>0.95601730264174267</v>
      </c>
      <c r="P190" s="3">
        <v>13087</v>
      </c>
      <c r="Q190" s="3">
        <v>6840</v>
      </c>
      <c r="R190" s="3">
        <v>6247</v>
      </c>
    </row>
    <row r="191" spans="1:18" ht="17.45" customHeight="1" x14ac:dyDescent="0.25">
      <c r="A191" s="8">
        <v>2000</v>
      </c>
      <c r="B191" s="8" t="s">
        <v>54</v>
      </c>
      <c r="C191" s="9">
        <v>225102</v>
      </c>
      <c r="D191" s="9">
        <v>111340</v>
      </c>
      <c r="E191" s="9">
        <v>113762</v>
      </c>
      <c r="F191" s="9">
        <v>5000</v>
      </c>
      <c r="G191" s="9">
        <v>152131</v>
      </c>
      <c r="H191" s="9">
        <v>75886</v>
      </c>
      <c r="I191" s="9">
        <v>76245</v>
      </c>
      <c r="J191" s="9">
        <v>157756</v>
      </c>
      <c r="K191" s="9">
        <v>79010</v>
      </c>
      <c r="L191" s="9">
        <v>78746</v>
      </c>
      <c r="M191" s="14">
        <f t="shared" si="6"/>
        <v>0.96434366997134813</v>
      </c>
      <c r="N191" s="14">
        <f t="shared" si="7"/>
        <v>0.96046070117706617</v>
      </c>
      <c r="O191" s="14">
        <f t="shared" si="8"/>
        <v>0.96823965661747902</v>
      </c>
      <c r="P191" s="9">
        <v>2399</v>
      </c>
      <c r="Q191" s="9">
        <v>1247</v>
      </c>
      <c r="R191" s="9">
        <v>1152</v>
      </c>
    </row>
    <row r="192" spans="1:18" ht="17.45" customHeight="1" x14ac:dyDescent="0.25">
      <c r="A192" s="2">
        <v>1990</v>
      </c>
      <c r="B192" s="2" t="s">
        <v>55</v>
      </c>
      <c r="C192" s="3">
        <v>217536</v>
      </c>
      <c r="D192" s="3">
        <v>106762</v>
      </c>
      <c r="E192" s="3">
        <v>110774</v>
      </c>
      <c r="F192" s="3">
        <v>5000</v>
      </c>
      <c r="G192" s="3">
        <v>104760</v>
      </c>
      <c r="H192" s="3">
        <v>52392</v>
      </c>
      <c r="I192" s="3">
        <v>52368</v>
      </c>
      <c r="J192" s="3">
        <v>106051</v>
      </c>
      <c r="K192" s="3">
        <v>52910</v>
      </c>
      <c r="L192" s="3">
        <v>53141</v>
      </c>
      <c r="M192" s="13">
        <f t="shared" si="6"/>
        <v>0.98782661172454767</v>
      </c>
      <c r="N192" s="13">
        <f t="shared" si="7"/>
        <v>0.99020979020979016</v>
      </c>
      <c r="O192" s="13">
        <f t="shared" si="8"/>
        <v>0.98545379274006883</v>
      </c>
      <c r="P192" s="3">
        <v>2250</v>
      </c>
      <c r="Q192" s="3">
        <v>1138</v>
      </c>
      <c r="R192" s="3">
        <v>1112</v>
      </c>
    </row>
    <row r="193" spans="1:18" ht="17.45" customHeight="1" x14ac:dyDescent="0.25">
      <c r="A193" s="2">
        <v>2000</v>
      </c>
      <c r="B193" s="2" t="s">
        <v>55</v>
      </c>
      <c r="C193" s="3">
        <v>243210</v>
      </c>
      <c r="D193" s="3">
        <v>120957</v>
      </c>
      <c r="E193" s="3">
        <v>122253</v>
      </c>
      <c r="F193" s="3">
        <v>5000</v>
      </c>
      <c r="G193" s="3">
        <v>149507</v>
      </c>
      <c r="H193" s="3">
        <v>74748</v>
      </c>
      <c r="I193" s="3">
        <v>74759</v>
      </c>
      <c r="J193" s="3">
        <v>139912</v>
      </c>
      <c r="K193" s="3">
        <v>69676</v>
      </c>
      <c r="L193" s="3">
        <v>70236</v>
      </c>
      <c r="M193" s="13">
        <f t="shared" si="6"/>
        <v>1.0685788209731832</v>
      </c>
      <c r="N193" s="13">
        <f t="shared" si="7"/>
        <v>1.0727940754348699</v>
      </c>
      <c r="O193" s="13">
        <f t="shared" si="8"/>
        <v>1.0643971752377699</v>
      </c>
      <c r="P193" s="3">
        <v>2822</v>
      </c>
      <c r="Q193" s="3">
        <v>1368</v>
      </c>
      <c r="R193" s="3">
        <v>1453</v>
      </c>
    </row>
    <row r="194" spans="1:18" ht="17.45" customHeight="1" x14ac:dyDescent="0.25">
      <c r="A194" s="8">
        <v>1975</v>
      </c>
      <c r="B194" s="8" t="s">
        <v>56</v>
      </c>
      <c r="C194" s="9">
        <v>707398</v>
      </c>
      <c r="D194" s="9">
        <v>369733</v>
      </c>
      <c r="E194" s="9">
        <v>337665</v>
      </c>
      <c r="F194" s="9">
        <v>5000</v>
      </c>
      <c r="G194" s="9">
        <v>151393</v>
      </c>
      <c r="H194" s="9">
        <v>91136</v>
      </c>
      <c r="I194" s="9">
        <v>60257</v>
      </c>
      <c r="J194" s="9">
        <v>170777</v>
      </c>
      <c r="K194" s="9">
        <v>102163</v>
      </c>
      <c r="L194" s="9">
        <v>68614</v>
      </c>
      <c r="M194" s="14">
        <f t="shared" si="6"/>
        <v>0.88649525404474838</v>
      </c>
      <c r="N194" s="14">
        <f t="shared" si="7"/>
        <v>0.89206464179791123</v>
      </c>
      <c r="O194" s="14">
        <f t="shared" si="8"/>
        <v>0.87820269915760629</v>
      </c>
      <c r="P194" s="9">
        <v>3524</v>
      </c>
      <c r="Q194" s="9">
        <v>1961</v>
      </c>
      <c r="R194" s="9">
        <v>1566</v>
      </c>
    </row>
    <row r="195" spans="1:18" ht="17.45" customHeight="1" x14ac:dyDescent="0.25">
      <c r="A195" s="8">
        <v>1980</v>
      </c>
      <c r="B195" s="8" t="s">
        <v>56</v>
      </c>
      <c r="C195" s="9">
        <v>700238</v>
      </c>
      <c r="D195" s="9">
        <v>359274</v>
      </c>
      <c r="E195" s="9">
        <v>340964</v>
      </c>
      <c r="F195" s="9">
        <v>5000</v>
      </c>
      <c r="G195" s="9">
        <v>149050</v>
      </c>
      <c r="H195" s="9">
        <v>85892</v>
      </c>
      <c r="I195" s="9">
        <v>63158</v>
      </c>
      <c r="J195" s="9">
        <v>172119</v>
      </c>
      <c r="K195" s="9">
        <v>98539</v>
      </c>
      <c r="L195" s="9">
        <v>73580</v>
      </c>
      <c r="M195" s="14">
        <f t="shared" ref="M195:M259" si="9">G195/J195</f>
        <v>0.86597063659444917</v>
      </c>
      <c r="N195" s="14">
        <f t="shared" ref="N195:N259" si="10">H195/K195</f>
        <v>0.87165487776413397</v>
      </c>
      <c r="O195" s="14">
        <f t="shared" ref="O195:O259" si="11">I195/L195</f>
        <v>0.85835824952432727</v>
      </c>
      <c r="P195" s="9">
        <v>3414</v>
      </c>
      <c r="Q195" s="9">
        <v>1801</v>
      </c>
      <c r="R195" s="9">
        <v>1615</v>
      </c>
    </row>
    <row r="196" spans="1:18" ht="17.45" customHeight="1" x14ac:dyDescent="0.25">
      <c r="A196" s="8">
        <v>1985</v>
      </c>
      <c r="B196" s="8" t="s">
        <v>56</v>
      </c>
      <c r="C196" s="9">
        <v>722431</v>
      </c>
      <c r="D196" s="9">
        <v>367269</v>
      </c>
      <c r="E196" s="9">
        <v>355162</v>
      </c>
      <c r="F196" s="9">
        <v>5000</v>
      </c>
      <c r="G196" s="9">
        <v>171040</v>
      </c>
      <c r="H196" s="9">
        <v>97221</v>
      </c>
      <c r="I196" s="9">
        <v>73819</v>
      </c>
      <c r="J196" s="9">
        <v>196700</v>
      </c>
      <c r="K196" s="9">
        <v>111171</v>
      </c>
      <c r="L196" s="9">
        <v>85529</v>
      </c>
      <c r="M196" s="14">
        <f t="shared" si="9"/>
        <v>0.86954753431621756</v>
      </c>
      <c r="N196" s="14">
        <f t="shared" si="10"/>
        <v>0.87451763499473789</v>
      </c>
      <c r="O196" s="14">
        <f t="shared" si="11"/>
        <v>0.86308737387318923</v>
      </c>
      <c r="P196" s="9">
        <v>3763</v>
      </c>
      <c r="Q196" s="9">
        <v>1900</v>
      </c>
      <c r="R196" s="9">
        <v>1865</v>
      </c>
    </row>
    <row r="197" spans="1:18" ht="17.45" customHeight="1" x14ac:dyDescent="0.25">
      <c r="A197" s="8">
        <v>1990</v>
      </c>
      <c r="B197" s="8" t="s">
        <v>56</v>
      </c>
      <c r="C197" s="9">
        <v>662155</v>
      </c>
      <c r="D197" s="9">
        <v>334065</v>
      </c>
      <c r="E197" s="9">
        <v>328090</v>
      </c>
      <c r="F197" s="9">
        <v>5000</v>
      </c>
      <c r="G197" s="9">
        <v>183331</v>
      </c>
      <c r="H197" s="9">
        <v>102245</v>
      </c>
      <c r="I197" s="9">
        <v>81086</v>
      </c>
      <c r="J197" s="9">
        <v>209463</v>
      </c>
      <c r="K197" s="9">
        <v>116126</v>
      </c>
      <c r="L197" s="9">
        <v>93337</v>
      </c>
      <c r="M197" s="14">
        <f t="shared" ref="M197" si="12">G197/J197</f>
        <v>0.87524288299126818</v>
      </c>
      <c r="N197" s="14">
        <f t="shared" ref="N197" si="13">H197/K197</f>
        <v>0.88046604550229923</v>
      </c>
      <c r="O197" s="14">
        <f t="shared" ref="O197" si="14">I197/L197</f>
        <v>0.86874444218262858</v>
      </c>
      <c r="P197" s="9">
        <v>3765</v>
      </c>
      <c r="Q197" s="9">
        <v>1906</v>
      </c>
      <c r="R197" s="9">
        <v>1861</v>
      </c>
    </row>
    <row r="198" spans="1:18" ht="17.45" customHeight="1" x14ac:dyDescent="0.25">
      <c r="A198" s="8">
        <v>2000</v>
      </c>
      <c r="B198" s="8" t="s">
        <v>56</v>
      </c>
      <c r="C198" s="9">
        <v>325016</v>
      </c>
      <c r="D198" s="9">
        <v>169027</v>
      </c>
      <c r="E198" s="9">
        <v>155989</v>
      </c>
      <c r="F198" s="9">
        <v>2000</v>
      </c>
      <c r="G198" s="9">
        <v>150231</v>
      </c>
      <c r="H198" s="9">
        <v>84391</v>
      </c>
      <c r="I198" s="9">
        <v>65840</v>
      </c>
      <c r="J198" s="9">
        <v>142145</v>
      </c>
      <c r="K198" s="9">
        <v>80355</v>
      </c>
      <c r="L198" s="9">
        <v>61790</v>
      </c>
      <c r="M198" s="14">
        <f t="shared" si="9"/>
        <v>1.0568855745893277</v>
      </c>
      <c r="N198" s="14">
        <f t="shared" si="10"/>
        <v>1.050227117167569</v>
      </c>
      <c r="O198" s="14">
        <f t="shared" si="11"/>
        <v>1.0655445865026703</v>
      </c>
      <c r="P198" s="9">
        <v>2691.8713514520969</v>
      </c>
      <c r="Q198" s="9">
        <v>1408.2668175516346</v>
      </c>
      <c r="R198" s="9">
        <v>1281.9735722964763</v>
      </c>
    </row>
    <row r="199" spans="1:18" ht="17.45" customHeight="1" x14ac:dyDescent="0.25">
      <c r="A199" s="2">
        <v>1975</v>
      </c>
      <c r="B199" s="2" t="s">
        <v>57</v>
      </c>
      <c r="C199" s="3">
        <v>438243</v>
      </c>
      <c r="D199" s="3">
        <v>214148</v>
      </c>
      <c r="E199" s="3">
        <v>224095</v>
      </c>
      <c r="F199" s="3">
        <v>2000</v>
      </c>
      <c r="G199" s="3">
        <v>98128</v>
      </c>
      <c r="H199" s="3">
        <v>52132</v>
      </c>
      <c r="I199" s="3">
        <v>45996</v>
      </c>
      <c r="J199" s="3">
        <v>87603</v>
      </c>
      <c r="K199" s="3">
        <v>47127</v>
      </c>
      <c r="L199" s="3">
        <v>40476</v>
      </c>
      <c r="M199" s="13">
        <f t="shared" si="9"/>
        <v>1.1201442872960972</v>
      </c>
      <c r="N199" s="13">
        <f t="shared" si="10"/>
        <v>1.1062023892885182</v>
      </c>
      <c r="O199" s="13">
        <f t="shared" si="11"/>
        <v>1.1363771123628816</v>
      </c>
      <c r="P199" s="3">
        <v>1750</v>
      </c>
      <c r="Q199" s="3">
        <v>904</v>
      </c>
      <c r="R199" s="3">
        <v>845</v>
      </c>
    </row>
    <row r="200" spans="1:18" ht="17.45" customHeight="1" x14ac:dyDescent="0.25">
      <c r="A200" s="2">
        <v>1980</v>
      </c>
      <c r="B200" s="2" t="s">
        <v>57</v>
      </c>
      <c r="C200" s="3">
        <v>450946</v>
      </c>
      <c r="D200" s="3">
        <v>216207</v>
      </c>
      <c r="E200" s="3">
        <v>234739</v>
      </c>
      <c r="F200" s="3">
        <v>2000</v>
      </c>
      <c r="G200" s="3">
        <v>108793</v>
      </c>
      <c r="H200" s="3">
        <v>56017</v>
      </c>
      <c r="I200" s="3">
        <v>52776</v>
      </c>
      <c r="J200" s="3">
        <v>99680</v>
      </c>
      <c r="K200" s="3">
        <v>51571</v>
      </c>
      <c r="L200" s="3">
        <v>48109</v>
      </c>
      <c r="M200" s="13">
        <f t="shared" si="9"/>
        <v>1.0914225521669343</v>
      </c>
      <c r="N200" s="13">
        <f t="shared" si="10"/>
        <v>1.0862112427527097</v>
      </c>
      <c r="O200" s="13">
        <f t="shared" si="11"/>
        <v>1.0970088756781475</v>
      </c>
      <c r="P200" s="3">
        <v>2010</v>
      </c>
      <c r="Q200" s="3">
        <v>1099</v>
      </c>
      <c r="R200" s="3">
        <v>912</v>
      </c>
    </row>
    <row r="201" spans="1:18" ht="17.45" customHeight="1" x14ac:dyDescent="0.25">
      <c r="A201" s="2">
        <v>1985</v>
      </c>
      <c r="B201" s="2" t="s">
        <v>57</v>
      </c>
      <c r="C201" s="3">
        <v>450353</v>
      </c>
      <c r="D201" s="3">
        <v>216132</v>
      </c>
      <c r="E201" s="3">
        <v>234221</v>
      </c>
      <c r="F201" s="3">
        <v>2000</v>
      </c>
      <c r="G201" s="3">
        <v>134618</v>
      </c>
      <c r="H201" s="3">
        <v>69788</v>
      </c>
      <c r="I201" s="3">
        <v>64830</v>
      </c>
      <c r="J201" s="3">
        <v>122350</v>
      </c>
      <c r="K201" s="3">
        <v>63844</v>
      </c>
      <c r="L201" s="3">
        <v>58506</v>
      </c>
      <c r="M201" s="13">
        <f t="shared" si="9"/>
        <v>1.1002697180220677</v>
      </c>
      <c r="N201" s="13">
        <f t="shared" si="10"/>
        <v>1.0931019359689242</v>
      </c>
      <c r="O201" s="13">
        <f t="shared" si="11"/>
        <v>1.1080914777971491</v>
      </c>
      <c r="P201" s="3">
        <v>1810</v>
      </c>
      <c r="Q201" s="3">
        <v>908</v>
      </c>
      <c r="R201" s="3">
        <v>902</v>
      </c>
    </row>
    <row r="202" spans="1:18" ht="17.45" customHeight="1" x14ac:dyDescent="0.25">
      <c r="A202" s="2">
        <v>1990</v>
      </c>
      <c r="B202" s="2" t="s">
        <v>57</v>
      </c>
      <c r="C202" s="3">
        <v>423611</v>
      </c>
      <c r="D202" s="3">
        <v>202583</v>
      </c>
      <c r="E202" s="3">
        <v>221028</v>
      </c>
      <c r="F202" s="3">
        <v>2000</v>
      </c>
      <c r="G202" s="3">
        <v>146353</v>
      </c>
      <c r="H202" s="3">
        <v>75151</v>
      </c>
      <c r="I202" s="3">
        <v>71202</v>
      </c>
      <c r="J202" s="3">
        <v>148710</v>
      </c>
      <c r="K202" s="3">
        <v>76447</v>
      </c>
      <c r="L202" s="3">
        <v>72263</v>
      </c>
      <c r="M202" s="13">
        <f t="shared" si="9"/>
        <v>0.98415035976060794</v>
      </c>
      <c r="N202" s="13">
        <f t="shared" si="10"/>
        <v>0.98304707836801963</v>
      </c>
      <c r="O202" s="13">
        <f t="shared" si="11"/>
        <v>0.9853175207229149</v>
      </c>
      <c r="P202" s="3">
        <v>2127</v>
      </c>
      <c r="Q202" s="3">
        <v>1100</v>
      </c>
      <c r="R202" s="3">
        <v>1027</v>
      </c>
    </row>
    <row r="203" spans="1:18" ht="17.45" customHeight="1" x14ac:dyDescent="0.25">
      <c r="A203" s="2">
        <v>2000</v>
      </c>
      <c r="B203" s="2" t="s">
        <v>57</v>
      </c>
      <c r="C203" s="3">
        <v>375476</v>
      </c>
      <c r="D203" s="3">
        <v>181511</v>
      </c>
      <c r="E203" s="3">
        <v>193965</v>
      </c>
      <c r="F203" s="3">
        <v>2000</v>
      </c>
      <c r="G203" s="3">
        <v>175139</v>
      </c>
      <c r="H203" s="3">
        <v>88464</v>
      </c>
      <c r="I203" s="3">
        <v>86675</v>
      </c>
      <c r="J203" s="3">
        <v>174020</v>
      </c>
      <c r="K203" s="3">
        <v>87909</v>
      </c>
      <c r="L203" s="3">
        <v>86111</v>
      </c>
      <c r="M203" s="13">
        <f t="shared" si="9"/>
        <v>1.0064302953683484</v>
      </c>
      <c r="N203" s="13">
        <f t="shared" si="10"/>
        <v>1.0063133467563048</v>
      </c>
      <c r="O203" s="13">
        <f t="shared" si="11"/>
        <v>1.0065496858705625</v>
      </c>
      <c r="P203" s="3">
        <v>2369</v>
      </c>
      <c r="Q203" s="3">
        <v>1238</v>
      </c>
      <c r="R203" s="3">
        <v>1131</v>
      </c>
    </row>
    <row r="204" spans="1:18" ht="17.45" customHeight="1" x14ac:dyDescent="0.25">
      <c r="A204" s="8">
        <v>1970</v>
      </c>
      <c r="B204" s="8" t="s">
        <v>58</v>
      </c>
      <c r="C204" s="9">
        <v>598693</v>
      </c>
      <c r="D204" s="9">
        <v>293904</v>
      </c>
      <c r="E204" s="9">
        <v>304789</v>
      </c>
      <c r="F204" s="9">
        <v>10000</v>
      </c>
      <c r="G204" s="9">
        <v>200211</v>
      </c>
      <c r="H204" s="9">
        <v>103747</v>
      </c>
      <c r="I204" s="9">
        <v>96464</v>
      </c>
      <c r="J204" s="9">
        <v>236824</v>
      </c>
      <c r="K204" s="9">
        <v>123034</v>
      </c>
      <c r="L204" s="9">
        <v>113790</v>
      </c>
      <c r="M204" s="14">
        <f t="shared" si="9"/>
        <v>0.84539995946356783</v>
      </c>
      <c r="N204" s="14">
        <f t="shared" si="10"/>
        <v>0.84323845441097578</v>
      </c>
      <c r="O204" s="14">
        <f t="shared" si="11"/>
        <v>0.847737059495562</v>
      </c>
      <c r="P204" s="9">
        <v>6022</v>
      </c>
      <c r="Q204" s="9">
        <v>2846</v>
      </c>
      <c r="R204" s="9">
        <v>3174</v>
      </c>
    </row>
    <row r="205" spans="1:18" ht="17.45" customHeight="1" x14ac:dyDescent="0.25">
      <c r="A205" s="8">
        <v>1975</v>
      </c>
      <c r="B205" s="8" t="s">
        <v>58</v>
      </c>
      <c r="C205" s="9">
        <v>676809</v>
      </c>
      <c r="D205" s="9">
        <v>342613</v>
      </c>
      <c r="E205" s="9">
        <v>334196</v>
      </c>
      <c r="F205" s="9">
        <v>10000</v>
      </c>
      <c r="G205" s="9">
        <v>294001</v>
      </c>
      <c r="H205" s="9">
        <v>152304</v>
      </c>
      <c r="I205" s="9">
        <v>141697</v>
      </c>
      <c r="J205" s="9">
        <v>295582</v>
      </c>
      <c r="K205" s="9">
        <v>154060</v>
      </c>
      <c r="L205" s="9">
        <v>141522</v>
      </c>
      <c r="M205" s="14">
        <f t="shared" si="9"/>
        <v>0.99465123045381654</v>
      </c>
      <c r="N205" s="14">
        <f t="shared" si="10"/>
        <v>0.9886018434376217</v>
      </c>
      <c r="O205" s="14">
        <f t="shared" si="11"/>
        <v>1.0012365568604176</v>
      </c>
      <c r="P205" s="9">
        <v>15041</v>
      </c>
      <c r="Q205" s="9">
        <v>6673</v>
      </c>
      <c r="R205" s="9">
        <v>8354</v>
      </c>
    </row>
    <row r="206" spans="1:18" ht="17.45" customHeight="1" x14ac:dyDescent="0.25">
      <c r="A206" s="8">
        <v>1980</v>
      </c>
      <c r="B206" s="8" t="s">
        <v>58</v>
      </c>
      <c r="C206" s="9">
        <v>778383</v>
      </c>
      <c r="D206" s="9">
        <v>389220</v>
      </c>
      <c r="E206" s="9">
        <v>389163</v>
      </c>
      <c r="F206" s="9">
        <v>10000</v>
      </c>
      <c r="G206" s="9">
        <v>396409</v>
      </c>
      <c r="H206" s="9">
        <v>202324</v>
      </c>
      <c r="I206" s="9">
        <v>194085</v>
      </c>
      <c r="J206" s="9">
        <v>380352</v>
      </c>
      <c r="K206" s="9">
        <v>194680</v>
      </c>
      <c r="L206" s="9">
        <v>185672</v>
      </c>
      <c r="M206" s="14">
        <f t="shared" si="9"/>
        <v>1.0422161576644793</v>
      </c>
      <c r="N206" s="14">
        <f t="shared" si="10"/>
        <v>1.0392644339428807</v>
      </c>
      <c r="O206" s="14">
        <f t="shared" si="11"/>
        <v>1.045311086216554</v>
      </c>
      <c r="P206" s="9">
        <v>10189</v>
      </c>
      <c r="Q206" s="9">
        <v>5234</v>
      </c>
      <c r="R206" s="9">
        <v>4955</v>
      </c>
    </row>
    <row r="207" spans="1:18" ht="17.45" customHeight="1" x14ac:dyDescent="0.25">
      <c r="A207" s="8">
        <v>1985</v>
      </c>
      <c r="B207" s="8" t="s">
        <v>58</v>
      </c>
      <c r="C207" s="9">
        <v>864060</v>
      </c>
      <c r="D207" s="9">
        <v>430545</v>
      </c>
      <c r="E207" s="9">
        <v>433515</v>
      </c>
      <c r="F207" s="9">
        <v>10000</v>
      </c>
      <c r="G207" s="9">
        <v>492299</v>
      </c>
      <c r="H207" s="9">
        <v>251471</v>
      </c>
      <c r="I207" s="9">
        <v>240828</v>
      </c>
      <c r="J207" s="9">
        <v>488556</v>
      </c>
      <c r="K207" s="9">
        <v>250306</v>
      </c>
      <c r="L207" s="9">
        <v>238250</v>
      </c>
      <c r="M207" s="14">
        <f t="shared" si="9"/>
        <v>1.0076613530485758</v>
      </c>
      <c r="N207" s="14">
        <f t="shared" si="10"/>
        <v>1.0046543031329653</v>
      </c>
      <c r="O207" s="14">
        <f t="shared" si="11"/>
        <v>1.0108205666316894</v>
      </c>
      <c r="P207" s="9">
        <v>11216</v>
      </c>
      <c r="Q207" s="9">
        <v>5836</v>
      </c>
      <c r="R207" s="9">
        <v>5381</v>
      </c>
    </row>
    <row r="208" spans="1:18" ht="17.45" customHeight="1" x14ac:dyDescent="0.25">
      <c r="A208" s="8">
        <v>1990</v>
      </c>
      <c r="B208" s="8" t="s">
        <v>58</v>
      </c>
      <c r="C208" s="9">
        <v>943484</v>
      </c>
      <c r="D208" s="9">
        <v>471874</v>
      </c>
      <c r="E208" s="9">
        <v>471610</v>
      </c>
      <c r="F208" s="9">
        <v>5000</v>
      </c>
      <c r="G208" s="9">
        <v>618582</v>
      </c>
      <c r="H208" s="9">
        <v>317393</v>
      </c>
      <c r="I208" s="9">
        <v>301189</v>
      </c>
      <c r="J208" s="9">
        <v>604072</v>
      </c>
      <c r="K208" s="9">
        <v>308228</v>
      </c>
      <c r="L208" s="9">
        <v>295844</v>
      </c>
      <c r="M208" s="14">
        <f t="shared" si="9"/>
        <v>1.0240203154590843</v>
      </c>
      <c r="N208" s="14">
        <f t="shared" si="10"/>
        <v>1.0297344822663743</v>
      </c>
      <c r="O208" s="14">
        <f t="shared" si="11"/>
        <v>1.0180669542055949</v>
      </c>
      <c r="P208" s="9">
        <v>12444</v>
      </c>
      <c r="Q208" s="9">
        <v>6265</v>
      </c>
      <c r="R208" s="9">
        <v>6180</v>
      </c>
    </row>
    <row r="209" spans="1:18" ht="17.45" customHeight="1" x14ac:dyDescent="0.25">
      <c r="A209" s="8">
        <v>2000</v>
      </c>
      <c r="B209" s="8" t="s">
        <v>58</v>
      </c>
      <c r="C209" s="9">
        <v>1060432</v>
      </c>
      <c r="D209" s="9">
        <v>529584</v>
      </c>
      <c r="E209" s="9">
        <v>530848</v>
      </c>
      <c r="F209" s="9">
        <v>10000</v>
      </c>
      <c r="G209" s="9">
        <v>733558</v>
      </c>
      <c r="H209" s="9">
        <v>369094</v>
      </c>
      <c r="I209" s="9">
        <v>364464</v>
      </c>
      <c r="J209" s="9">
        <v>732354</v>
      </c>
      <c r="K209" s="9">
        <v>368749</v>
      </c>
      <c r="L209" s="9">
        <v>363605</v>
      </c>
      <c r="M209" s="14">
        <f t="shared" si="9"/>
        <v>1.0016440136873697</v>
      </c>
      <c r="N209" s="14">
        <f t="shared" si="10"/>
        <v>1.0009355957575479</v>
      </c>
      <c r="O209" s="14">
        <f t="shared" si="11"/>
        <v>1.0023624537616369</v>
      </c>
      <c r="P209" s="9">
        <v>14518</v>
      </c>
      <c r="Q209" s="9">
        <v>7405</v>
      </c>
      <c r="R209" s="9">
        <v>7113</v>
      </c>
    </row>
    <row r="210" spans="1:18" ht="17.45" customHeight="1" x14ac:dyDescent="0.25">
      <c r="A210" s="2">
        <v>2000</v>
      </c>
      <c r="B210" s="2" t="s">
        <v>59</v>
      </c>
      <c r="C210" s="3">
        <v>114724</v>
      </c>
      <c r="D210" s="3">
        <v>57081</v>
      </c>
      <c r="E210" s="3">
        <v>57643</v>
      </c>
      <c r="F210" s="3">
        <v>5000</v>
      </c>
      <c r="G210" s="3">
        <v>70670</v>
      </c>
      <c r="H210" s="3">
        <v>35246</v>
      </c>
      <c r="I210" s="3">
        <v>35424</v>
      </c>
      <c r="J210" s="3">
        <v>74985</v>
      </c>
      <c r="K210" s="3">
        <v>37558</v>
      </c>
      <c r="L210" s="3">
        <v>37427</v>
      </c>
      <c r="M210" s="13">
        <f t="shared" si="9"/>
        <v>0.94245515769820631</v>
      </c>
      <c r="N210" s="13">
        <f t="shared" si="10"/>
        <v>0.93844187656424727</v>
      </c>
      <c r="O210" s="13">
        <f t="shared" si="11"/>
        <v>0.94648248590589679</v>
      </c>
      <c r="P210" s="3">
        <v>1610</v>
      </c>
      <c r="Q210" s="3">
        <v>848</v>
      </c>
      <c r="R210" s="3">
        <v>762</v>
      </c>
    </row>
    <row r="211" spans="1:18" ht="17.45" customHeight="1" x14ac:dyDescent="0.25">
      <c r="A211" s="8">
        <v>1990</v>
      </c>
      <c r="B211" s="8" t="s">
        <v>60</v>
      </c>
      <c r="C211" s="9">
        <v>349396</v>
      </c>
      <c r="D211" s="9">
        <v>177789</v>
      </c>
      <c r="E211" s="9">
        <v>171607</v>
      </c>
      <c r="F211" s="9">
        <v>5000</v>
      </c>
      <c r="G211" s="9">
        <v>248695</v>
      </c>
      <c r="H211" s="9">
        <v>127871</v>
      </c>
      <c r="I211" s="9">
        <v>120824</v>
      </c>
      <c r="J211" s="9">
        <v>243378</v>
      </c>
      <c r="K211" s="9">
        <v>125193</v>
      </c>
      <c r="L211" s="9">
        <v>118185</v>
      </c>
      <c r="M211" s="14">
        <f t="shared" si="9"/>
        <v>1.0218466747199828</v>
      </c>
      <c r="N211" s="14">
        <f t="shared" si="10"/>
        <v>1.0213909723387091</v>
      </c>
      <c r="O211" s="14">
        <f t="shared" si="11"/>
        <v>1.0223293988238777</v>
      </c>
      <c r="P211" s="9">
        <v>4362</v>
      </c>
      <c r="Q211" s="9">
        <v>2228</v>
      </c>
      <c r="R211" s="9">
        <v>2133</v>
      </c>
    </row>
    <row r="212" spans="1:18" ht="17.45" customHeight="1" x14ac:dyDescent="0.25">
      <c r="A212" s="8">
        <v>2000</v>
      </c>
      <c r="B212" s="8" t="s">
        <v>60</v>
      </c>
      <c r="C212" s="9">
        <v>383508</v>
      </c>
      <c r="D212" s="9">
        <v>196430</v>
      </c>
      <c r="E212" s="9">
        <v>187078</v>
      </c>
      <c r="F212" s="9">
        <v>5000</v>
      </c>
      <c r="G212" s="9">
        <v>285776</v>
      </c>
      <c r="H212" s="9">
        <v>146171</v>
      </c>
      <c r="I212" s="9">
        <v>139605</v>
      </c>
      <c r="J212" s="9">
        <v>285294</v>
      </c>
      <c r="K212" s="9">
        <v>146151</v>
      </c>
      <c r="L212" s="9">
        <v>139143</v>
      </c>
      <c r="M212" s="14">
        <f t="shared" si="9"/>
        <v>1.0016894852327773</v>
      </c>
      <c r="N212" s="14">
        <f t="shared" si="10"/>
        <v>1.0001368447701351</v>
      </c>
      <c r="O212" s="14">
        <f t="shared" si="11"/>
        <v>1.0033203251331364</v>
      </c>
      <c r="P212" s="9">
        <v>4914</v>
      </c>
      <c r="Q212" s="9">
        <v>2546</v>
      </c>
      <c r="R212" s="9">
        <v>2368</v>
      </c>
    </row>
    <row r="213" spans="1:18" ht="17.45" customHeight="1" x14ac:dyDescent="0.25">
      <c r="A213" s="2">
        <v>1975</v>
      </c>
      <c r="B213" s="2" t="s">
        <v>61</v>
      </c>
      <c r="C213" s="3">
        <v>268399</v>
      </c>
      <c r="D213" s="3">
        <v>149178</v>
      </c>
      <c r="E213" s="3">
        <v>119221</v>
      </c>
      <c r="F213" s="3">
        <v>5000</v>
      </c>
      <c r="G213" s="3">
        <v>101482</v>
      </c>
      <c r="H213" s="3">
        <v>64134</v>
      </c>
      <c r="I213" s="3">
        <v>37348</v>
      </c>
      <c r="J213" s="3">
        <v>109309</v>
      </c>
      <c r="K213" s="3">
        <v>68676</v>
      </c>
      <c r="L213" s="3">
        <v>40633</v>
      </c>
      <c r="M213" s="13">
        <f t="shared" si="9"/>
        <v>0.92839564903164429</v>
      </c>
      <c r="N213" s="13">
        <f t="shared" si="10"/>
        <v>0.93386335837847279</v>
      </c>
      <c r="O213" s="13">
        <f t="shared" si="11"/>
        <v>0.91915438190633225</v>
      </c>
      <c r="P213" s="3">
        <v>2496</v>
      </c>
      <c r="Q213" s="3">
        <v>1345</v>
      </c>
      <c r="R213" s="3">
        <v>1154</v>
      </c>
    </row>
    <row r="214" spans="1:18" ht="17.45" customHeight="1" x14ac:dyDescent="0.25">
      <c r="A214" s="2">
        <v>1980</v>
      </c>
      <c r="B214" s="2" t="s">
        <v>61</v>
      </c>
      <c r="C214" s="3">
        <v>283408</v>
      </c>
      <c r="D214" s="3">
        <v>153245</v>
      </c>
      <c r="E214" s="3">
        <v>130163</v>
      </c>
      <c r="F214" s="3">
        <v>5000</v>
      </c>
      <c r="G214" s="3">
        <v>110539</v>
      </c>
      <c r="H214" s="3">
        <v>65375</v>
      </c>
      <c r="I214" s="3">
        <v>45164</v>
      </c>
      <c r="J214" s="3">
        <v>118849</v>
      </c>
      <c r="K214" s="3">
        <v>69883</v>
      </c>
      <c r="L214" s="3">
        <v>48966</v>
      </c>
      <c r="M214" s="13">
        <f t="shared" si="9"/>
        <v>0.93007934437816053</v>
      </c>
      <c r="N214" s="13">
        <f t="shared" si="10"/>
        <v>0.93549217978621413</v>
      </c>
      <c r="O214" s="13">
        <f t="shared" si="11"/>
        <v>0.92235428664787811</v>
      </c>
      <c r="P214" s="3">
        <v>2236</v>
      </c>
      <c r="Q214" s="3">
        <v>1099</v>
      </c>
      <c r="R214" s="3">
        <v>1141</v>
      </c>
    </row>
    <row r="215" spans="1:18" ht="17.45" customHeight="1" x14ac:dyDescent="0.25">
      <c r="A215" s="2">
        <v>1985</v>
      </c>
      <c r="B215" s="2" t="s">
        <v>61</v>
      </c>
      <c r="C215" s="3">
        <v>297098</v>
      </c>
      <c r="D215" s="3">
        <v>161561</v>
      </c>
      <c r="E215" s="3">
        <v>135537</v>
      </c>
      <c r="F215" s="3">
        <v>5000</v>
      </c>
      <c r="G215" s="3">
        <v>125762</v>
      </c>
      <c r="H215" s="3">
        <v>73394</v>
      </c>
      <c r="I215" s="3">
        <v>52368</v>
      </c>
      <c r="J215" s="3">
        <v>134780</v>
      </c>
      <c r="K215" s="3">
        <v>78191</v>
      </c>
      <c r="L215" s="3">
        <v>56589</v>
      </c>
      <c r="M215" s="13">
        <f t="shared" si="9"/>
        <v>0.93309096305089778</v>
      </c>
      <c r="N215" s="13">
        <f t="shared" si="10"/>
        <v>0.93865022828714306</v>
      </c>
      <c r="O215" s="13">
        <f t="shared" si="11"/>
        <v>0.92540953188782271</v>
      </c>
      <c r="P215" s="3">
        <v>1899</v>
      </c>
      <c r="Q215" s="3">
        <v>958</v>
      </c>
      <c r="R215" s="3">
        <v>943</v>
      </c>
    </row>
    <row r="216" spans="1:18" ht="17.45" customHeight="1" x14ac:dyDescent="0.25">
      <c r="A216" s="2">
        <v>1990</v>
      </c>
      <c r="B216" s="2" t="s">
        <v>61</v>
      </c>
      <c r="C216" s="3">
        <v>309512</v>
      </c>
      <c r="D216" s="3">
        <v>166073</v>
      </c>
      <c r="E216" s="3">
        <v>143439</v>
      </c>
      <c r="F216" s="3">
        <v>5000</v>
      </c>
      <c r="G216" s="3">
        <v>145181</v>
      </c>
      <c r="H216" s="3">
        <v>81275</v>
      </c>
      <c r="I216" s="3">
        <v>63906</v>
      </c>
      <c r="J216" s="3">
        <v>149532</v>
      </c>
      <c r="K216" s="3">
        <v>83619</v>
      </c>
      <c r="L216" s="3">
        <v>65913</v>
      </c>
      <c r="M216" s="13">
        <f t="shared" si="9"/>
        <v>0.97090254928710906</v>
      </c>
      <c r="N216" s="13">
        <f t="shared" si="10"/>
        <v>0.97196809337590739</v>
      </c>
      <c r="O216" s="13">
        <f t="shared" si="11"/>
        <v>0.96955077147148516</v>
      </c>
      <c r="P216" s="3">
        <v>2516</v>
      </c>
      <c r="Q216" s="3">
        <v>1333</v>
      </c>
      <c r="R216" s="3">
        <v>1183</v>
      </c>
    </row>
    <row r="217" spans="1:18" ht="17.45" customHeight="1" x14ac:dyDescent="0.25">
      <c r="A217" s="2">
        <v>2000</v>
      </c>
      <c r="B217" s="2" t="s">
        <v>61</v>
      </c>
      <c r="C217" s="3">
        <v>328461</v>
      </c>
      <c r="D217" s="3">
        <v>172188</v>
      </c>
      <c r="E217" s="3">
        <v>156273</v>
      </c>
      <c r="F217" s="3">
        <v>5000</v>
      </c>
      <c r="G217" s="3">
        <v>185058</v>
      </c>
      <c r="H217" s="3">
        <v>98781</v>
      </c>
      <c r="I217" s="3">
        <v>86277</v>
      </c>
      <c r="J217" s="3">
        <v>189202</v>
      </c>
      <c r="K217" s="3">
        <v>101075</v>
      </c>
      <c r="L217" s="3">
        <v>88127</v>
      </c>
      <c r="M217" s="13">
        <f t="shared" si="9"/>
        <v>0.97809748311328637</v>
      </c>
      <c r="N217" s="13">
        <f t="shared" si="10"/>
        <v>0.97730398219144199</v>
      </c>
      <c r="O217" s="13">
        <f t="shared" si="11"/>
        <v>0.97900756862255611</v>
      </c>
      <c r="P217" s="3">
        <v>2507</v>
      </c>
      <c r="Q217" s="3">
        <v>1253</v>
      </c>
      <c r="R217" s="3">
        <v>1253</v>
      </c>
    </row>
    <row r="218" spans="1:18" ht="17.45" customHeight="1" x14ac:dyDescent="0.25">
      <c r="A218" s="8">
        <v>1975</v>
      </c>
      <c r="B218" s="8" t="s">
        <v>3</v>
      </c>
      <c r="C218" s="9">
        <v>232853</v>
      </c>
      <c r="D218" s="9">
        <v>113990</v>
      </c>
      <c r="E218" s="9">
        <v>118863</v>
      </c>
      <c r="F218" s="9">
        <v>5000</v>
      </c>
      <c r="G218" s="9">
        <v>67329</v>
      </c>
      <c r="H218" s="9">
        <v>35550</v>
      </c>
      <c r="I218" s="9">
        <v>31779</v>
      </c>
      <c r="J218" s="9">
        <v>70532</v>
      </c>
      <c r="K218" s="9">
        <v>37253</v>
      </c>
      <c r="L218" s="9">
        <v>33279</v>
      </c>
      <c r="M218" s="14">
        <f t="shared" si="9"/>
        <v>0.95458798843078319</v>
      </c>
      <c r="N218" s="14">
        <f t="shared" si="10"/>
        <v>0.95428556089442462</v>
      </c>
      <c r="O218" s="14">
        <f t="shared" si="11"/>
        <v>0.95492653024429819</v>
      </c>
      <c r="P218" s="9">
        <v>1846</v>
      </c>
      <c r="Q218" s="9">
        <v>1004</v>
      </c>
      <c r="R218" s="9">
        <v>842</v>
      </c>
    </row>
    <row r="219" spans="1:18" ht="17.45" customHeight="1" x14ac:dyDescent="0.25">
      <c r="A219" s="8">
        <v>1980</v>
      </c>
      <c r="B219" s="8" t="s">
        <v>3</v>
      </c>
      <c r="C219" s="9">
        <v>240497</v>
      </c>
      <c r="D219" s="9">
        <v>114963</v>
      </c>
      <c r="E219" s="9">
        <v>125534</v>
      </c>
      <c r="F219" s="9">
        <v>5000</v>
      </c>
      <c r="G219" s="9">
        <v>79114</v>
      </c>
      <c r="H219" s="9">
        <v>39960</v>
      </c>
      <c r="I219" s="9">
        <v>39154</v>
      </c>
      <c r="J219" s="9">
        <v>83965</v>
      </c>
      <c r="K219" s="9">
        <v>42401</v>
      </c>
      <c r="L219" s="9">
        <v>41564</v>
      </c>
      <c r="M219" s="14">
        <f t="shared" si="9"/>
        <v>0.94222592746977907</v>
      </c>
      <c r="N219" s="14">
        <f t="shared" si="10"/>
        <v>0.94243060305181481</v>
      </c>
      <c r="O219" s="14">
        <f t="shared" si="11"/>
        <v>0.9420171302088346</v>
      </c>
      <c r="P219" s="9">
        <v>2125</v>
      </c>
      <c r="Q219" s="9">
        <v>1114</v>
      </c>
      <c r="R219" s="9">
        <v>1011</v>
      </c>
    </row>
    <row r="220" spans="1:18" ht="17.45" customHeight="1" x14ac:dyDescent="0.25">
      <c r="A220" s="8">
        <v>1985</v>
      </c>
      <c r="B220" s="8" t="s">
        <v>3</v>
      </c>
      <c r="C220" s="9">
        <v>260156</v>
      </c>
      <c r="D220" s="9">
        <v>125704</v>
      </c>
      <c r="E220" s="9">
        <v>134452</v>
      </c>
      <c r="F220" s="9">
        <v>5000</v>
      </c>
      <c r="G220" s="9">
        <v>103483</v>
      </c>
      <c r="H220" s="9">
        <v>52408</v>
      </c>
      <c r="I220" s="9">
        <v>51075</v>
      </c>
      <c r="J220" s="9">
        <v>103483</v>
      </c>
      <c r="K220" s="9">
        <v>52408</v>
      </c>
      <c r="L220" s="9">
        <v>51075</v>
      </c>
      <c r="M220" s="14">
        <f t="shared" si="9"/>
        <v>1</v>
      </c>
      <c r="N220" s="14">
        <f t="shared" si="10"/>
        <v>1</v>
      </c>
      <c r="O220" s="14">
        <f t="shared" si="11"/>
        <v>1</v>
      </c>
      <c r="P220" s="9">
        <v>2012</v>
      </c>
      <c r="Q220" s="9">
        <v>1053</v>
      </c>
      <c r="R220" s="9">
        <v>959</v>
      </c>
    </row>
    <row r="221" spans="1:18" ht="17.45" customHeight="1" x14ac:dyDescent="0.25">
      <c r="A221" s="8">
        <v>1990</v>
      </c>
      <c r="B221" s="8" t="s">
        <v>3</v>
      </c>
      <c r="C221" s="9">
        <v>256862</v>
      </c>
      <c r="D221" s="9">
        <v>124639</v>
      </c>
      <c r="E221" s="9">
        <v>132223</v>
      </c>
      <c r="F221" s="9">
        <v>5000</v>
      </c>
      <c r="G221" s="9">
        <v>117163</v>
      </c>
      <c r="H221" s="9">
        <v>58709</v>
      </c>
      <c r="I221" s="9">
        <v>58454</v>
      </c>
      <c r="J221" s="9">
        <v>126406</v>
      </c>
      <c r="K221" s="9">
        <v>63396</v>
      </c>
      <c r="L221" s="9">
        <v>63010</v>
      </c>
      <c r="M221" s="14">
        <f t="shared" si="9"/>
        <v>0.92687847095865705</v>
      </c>
      <c r="N221" s="14">
        <f t="shared" si="10"/>
        <v>0.92606789071865736</v>
      </c>
      <c r="O221" s="14">
        <f t="shared" si="11"/>
        <v>0.92769401682272656</v>
      </c>
      <c r="P221" s="9">
        <v>2279</v>
      </c>
      <c r="Q221" s="9">
        <v>1139</v>
      </c>
      <c r="R221" s="9">
        <v>1139</v>
      </c>
    </row>
    <row r="222" spans="1:18" ht="17.45" customHeight="1" x14ac:dyDescent="0.25">
      <c r="A222" s="8">
        <v>2000</v>
      </c>
      <c r="B222" s="8" t="s">
        <v>3</v>
      </c>
      <c r="C222" s="9">
        <v>253239</v>
      </c>
      <c r="D222" s="9">
        <v>124739</v>
      </c>
      <c r="E222" s="9">
        <v>128500</v>
      </c>
      <c r="F222" s="9">
        <v>5000</v>
      </c>
      <c r="G222" s="9">
        <v>142448</v>
      </c>
      <c r="H222" s="9">
        <v>70604</v>
      </c>
      <c r="I222" s="9">
        <v>71844</v>
      </c>
      <c r="J222" s="9">
        <v>147412</v>
      </c>
      <c r="K222" s="9">
        <v>73079</v>
      </c>
      <c r="L222" s="9">
        <v>74333</v>
      </c>
      <c r="M222" s="14">
        <f t="shared" si="9"/>
        <v>0.96632567226548716</v>
      </c>
      <c r="N222" s="14">
        <f t="shared" si="10"/>
        <v>0.9661325414961891</v>
      </c>
      <c r="O222" s="14">
        <f t="shared" si="11"/>
        <v>0.96651554491275748</v>
      </c>
      <c r="P222" s="9">
        <v>2543</v>
      </c>
      <c r="Q222" s="9">
        <v>1320</v>
      </c>
      <c r="R222" s="9">
        <v>1223</v>
      </c>
    </row>
    <row r="223" spans="1:18" ht="17.45" customHeight="1" x14ac:dyDescent="0.25">
      <c r="A223" s="2">
        <v>1975</v>
      </c>
      <c r="B223" s="2" t="s">
        <v>38</v>
      </c>
      <c r="C223" s="3">
        <v>477736</v>
      </c>
      <c r="D223" s="3">
        <v>254643</v>
      </c>
      <c r="E223" s="3">
        <v>223093</v>
      </c>
      <c r="F223" s="3">
        <v>20000</v>
      </c>
      <c r="G223" s="3">
        <v>231872</v>
      </c>
      <c r="H223" s="3">
        <v>126223</v>
      </c>
      <c r="I223" s="3">
        <v>105649</v>
      </c>
      <c r="J223" s="3">
        <v>255557</v>
      </c>
      <c r="K223" s="3">
        <v>140166</v>
      </c>
      <c r="L223" s="3">
        <v>115391</v>
      </c>
      <c r="M223" s="13">
        <f t="shared" si="9"/>
        <v>0.90732008906036621</v>
      </c>
      <c r="N223" s="13">
        <f t="shared" si="10"/>
        <v>0.90052509167701156</v>
      </c>
      <c r="O223" s="13">
        <f t="shared" si="11"/>
        <v>0.91557400490506191</v>
      </c>
      <c r="P223" s="3">
        <v>6967</v>
      </c>
      <c r="Q223" s="3">
        <v>3491</v>
      </c>
      <c r="R223" s="3">
        <v>3470</v>
      </c>
    </row>
    <row r="224" spans="1:18" ht="17.45" customHeight="1" x14ac:dyDescent="0.25">
      <c r="A224" s="2">
        <v>1980</v>
      </c>
      <c r="B224" s="2" t="s">
        <v>38</v>
      </c>
      <c r="C224" s="3">
        <v>596899</v>
      </c>
      <c r="D224" s="3">
        <v>311837</v>
      </c>
      <c r="E224" s="3">
        <v>285062</v>
      </c>
      <c r="F224" s="3">
        <v>20000</v>
      </c>
      <c r="G224" s="3">
        <v>330098</v>
      </c>
      <c r="H224" s="3">
        <v>175324</v>
      </c>
      <c r="I224" s="3">
        <v>154774</v>
      </c>
      <c r="J224" s="3">
        <v>318026</v>
      </c>
      <c r="K224" s="3">
        <v>168857</v>
      </c>
      <c r="L224" s="3">
        <v>149169</v>
      </c>
      <c r="M224" s="13">
        <f t="shared" si="9"/>
        <v>1.0379591605717771</v>
      </c>
      <c r="N224" s="13">
        <f t="shared" si="10"/>
        <v>1.0382986787636876</v>
      </c>
      <c r="O224" s="13">
        <f t="shared" si="11"/>
        <v>1.0375748312316901</v>
      </c>
      <c r="P224" s="3">
        <v>8561</v>
      </c>
      <c r="Q224" s="3">
        <v>4410</v>
      </c>
      <c r="R224" s="3">
        <v>4151</v>
      </c>
    </row>
    <row r="225" spans="1:18" ht="17.45" customHeight="1" x14ac:dyDescent="0.25">
      <c r="A225" s="2">
        <v>1985</v>
      </c>
      <c r="B225" s="2" t="s">
        <v>38</v>
      </c>
      <c r="C225" s="3">
        <v>742245</v>
      </c>
      <c r="D225" s="3">
        <v>383691</v>
      </c>
      <c r="E225" s="3">
        <v>358554</v>
      </c>
      <c r="F225" s="3">
        <v>25000</v>
      </c>
      <c r="G225" s="3">
        <v>463988</v>
      </c>
      <c r="H225" s="3">
        <v>240848</v>
      </c>
      <c r="I225" s="3">
        <v>223140</v>
      </c>
      <c r="J225" s="3">
        <v>411917</v>
      </c>
      <c r="K225" s="3">
        <v>214130</v>
      </c>
      <c r="L225" s="3">
        <v>197787</v>
      </c>
      <c r="M225" s="13">
        <f t="shared" si="9"/>
        <v>1.126411388702093</v>
      </c>
      <c r="N225" s="13">
        <f t="shared" si="10"/>
        <v>1.1247746695932377</v>
      </c>
      <c r="O225" s="13">
        <f t="shared" si="11"/>
        <v>1.1281833487539625</v>
      </c>
      <c r="P225" s="3">
        <v>8124</v>
      </c>
      <c r="Q225" s="3">
        <v>4125</v>
      </c>
      <c r="R225" s="3">
        <v>3998</v>
      </c>
    </row>
    <row r="226" spans="1:18" ht="17.45" customHeight="1" x14ac:dyDescent="0.25">
      <c r="A226" s="2">
        <v>1990</v>
      </c>
      <c r="B226" s="2" t="s">
        <v>38</v>
      </c>
      <c r="C226" s="3">
        <v>936163</v>
      </c>
      <c r="D226" s="3">
        <v>486436</v>
      </c>
      <c r="E226" s="3">
        <v>449727</v>
      </c>
      <c r="F226" s="3">
        <v>25000</v>
      </c>
      <c r="G226" s="3">
        <v>625692</v>
      </c>
      <c r="H226" s="3">
        <v>325339</v>
      </c>
      <c r="I226" s="3">
        <v>300353</v>
      </c>
      <c r="J226" s="3">
        <v>582559</v>
      </c>
      <c r="K226" s="3">
        <v>303690</v>
      </c>
      <c r="L226" s="3">
        <v>278869</v>
      </c>
      <c r="M226" s="13">
        <f t="shared" si="9"/>
        <v>1.0740405692813946</v>
      </c>
      <c r="N226" s="13">
        <f t="shared" si="10"/>
        <v>1.0712865092693207</v>
      </c>
      <c r="O226" s="13">
        <f t="shared" si="11"/>
        <v>1.0770397570185284</v>
      </c>
      <c r="P226" s="3">
        <v>11315</v>
      </c>
      <c r="Q226" s="3">
        <v>5775</v>
      </c>
      <c r="R226" s="3">
        <v>5539</v>
      </c>
    </row>
    <row r="227" spans="1:18" ht="17.45" customHeight="1" x14ac:dyDescent="0.25">
      <c r="A227" s="2">
        <v>2000</v>
      </c>
      <c r="B227" s="2" t="s">
        <v>38</v>
      </c>
      <c r="C227" s="3">
        <v>1206085</v>
      </c>
      <c r="D227" s="3">
        <v>625309</v>
      </c>
      <c r="E227" s="3">
        <v>580776</v>
      </c>
      <c r="F227" s="3">
        <v>25000</v>
      </c>
      <c r="G227" s="3">
        <v>824891</v>
      </c>
      <c r="H227" s="3">
        <v>424952</v>
      </c>
      <c r="I227" s="3">
        <v>399939</v>
      </c>
      <c r="J227" s="3">
        <v>722905</v>
      </c>
      <c r="K227" s="3">
        <v>372889</v>
      </c>
      <c r="L227" s="3">
        <v>350016</v>
      </c>
      <c r="M227" s="13">
        <f t="shared" si="9"/>
        <v>1.1410780116336172</v>
      </c>
      <c r="N227" s="13">
        <f t="shared" si="10"/>
        <v>1.1396206377769256</v>
      </c>
      <c r="O227" s="13">
        <f t="shared" si="11"/>
        <v>1.1426306226001097</v>
      </c>
      <c r="P227" s="3">
        <v>12255</v>
      </c>
      <c r="Q227" s="3">
        <v>6220</v>
      </c>
      <c r="R227" s="3">
        <v>6034</v>
      </c>
    </row>
    <row r="228" spans="1:18" ht="17.45" customHeight="1" x14ac:dyDescent="0.25">
      <c r="A228" s="8">
        <v>1970</v>
      </c>
      <c r="B228" s="8" t="s">
        <v>62</v>
      </c>
      <c r="C228" s="9">
        <v>1280239</v>
      </c>
      <c r="D228" s="9">
        <v>632610</v>
      </c>
      <c r="E228" s="9">
        <v>647629</v>
      </c>
      <c r="F228" s="9">
        <v>10000</v>
      </c>
      <c r="G228" s="9">
        <v>402895</v>
      </c>
      <c r="H228" s="9">
        <v>208748</v>
      </c>
      <c r="I228" s="9">
        <v>194147</v>
      </c>
      <c r="J228" s="9">
        <v>455707</v>
      </c>
      <c r="K228" s="9">
        <v>237331</v>
      </c>
      <c r="L228" s="9">
        <v>218376</v>
      </c>
      <c r="M228" s="14">
        <f t="shared" si="9"/>
        <v>0.8841097459551861</v>
      </c>
      <c r="N228" s="14">
        <f t="shared" si="10"/>
        <v>0.87956482718228968</v>
      </c>
      <c r="O228" s="14">
        <f t="shared" si="11"/>
        <v>0.88904916291167524</v>
      </c>
      <c r="P228" s="9">
        <v>12382</v>
      </c>
      <c r="Q228" s="9">
        <v>5660</v>
      </c>
      <c r="R228" s="9">
        <v>6714</v>
      </c>
    </row>
    <row r="229" spans="1:18" ht="17.45" customHeight="1" x14ac:dyDescent="0.25">
      <c r="A229" s="8">
        <v>1975</v>
      </c>
      <c r="B229" s="8" t="s">
        <v>62</v>
      </c>
      <c r="C229" s="9">
        <v>1422461</v>
      </c>
      <c r="D229" s="9">
        <v>714286</v>
      </c>
      <c r="E229" s="9">
        <v>708175</v>
      </c>
      <c r="F229" s="9">
        <v>10000</v>
      </c>
      <c r="G229" s="9">
        <v>525258</v>
      </c>
      <c r="H229" s="9">
        <v>273445</v>
      </c>
      <c r="I229" s="9">
        <v>251813</v>
      </c>
      <c r="J229" s="9">
        <v>555172</v>
      </c>
      <c r="K229" s="9">
        <v>289380</v>
      </c>
      <c r="L229" s="9">
        <v>265792</v>
      </c>
      <c r="M229" s="14">
        <f t="shared" si="9"/>
        <v>0.94611759959075747</v>
      </c>
      <c r="N229" s="14">
        <f t="shared" si="10"/>
        <v>0.94493399682078927</v>
      </c>
      <c r="O229" s="14">
        <f t="shared" si="11"/>
        <v>0.94740624247531902</v>
      </c>
      <c r="P229" s="9">
        <v>13710</v>
      </c>
      <c r="Q229" s="9">
        <v>6677</v>
      </c>
      <c r="R229" s="9">
        <v>7032</v>
      </c>
    </row>
    <row r="230" spans="1:18" ht="17.45" customHeight="1" x14ac:dyDescent="0.25">
      <c r="A230" s="8">
        <v>1980</v>
      </c>
      <c r="B230" s="8" t="s">
        <v>62</v>
      </c>
      <c r="C230" s="9">
        <v>1562139</v>
      </c>
      <c r="D230" s="9">
        <v>776502</v>
      </c>
      <c r="E230" s="9">
        <v>785637</v>
      </c>
      <c r="F230" s="9">
        <v>10000</v>
      </c>
      <c r="G230" s="9">
        <v>644430</v>
      </c>
      <c r="H230" s="9">
        <v>330771</v>
      </c>
      <c r="I230" s="9">
        <v>313659</v>
      </c>
      <c r="J230" s="9">
        <v>672695</v>
      </c>
      <c r="K230" s="9">
        <v>345046</v>
      </c>
      <c r="L230" s="9">
        <v>327649</v>
      </c>
      <c r="M230" s="14">
        <f t="shared" si="9"/>
        <v>0.95798244375236918</v>
      </c>
      <c r="N230" s="14">
        <f t="shared" si="10"/>
        <v>0.95862870457852001</v>
      </c>
      <c r="O230" s="14">
        <f t="shared" si="11"/>
        <v>0.95730186876810242</v>
      </c>
      <c r="P230" s="9">
        <v>16832</v>
      </c>
      <c r="Q230" s="9">
        <v>8585</v>
      </c>
      <c r="R230" s="9">
        <v>8247</v>
      </c>
    </row>
    <row r="231" spans="1:18" ht="17.45" customHeight="1" x14ac:dyDescent="0.25">
      <c r="A231" s="8">
        <v>1985</v>
      </c>
      <c r="B231" s="8" t="s">
        <v>62</v>
      </c>
      <c r="C231" s="9">
        <v>1769050</v>
      </c>
      <c r="D231" s="9">
        <v>878563</v>
      </c>
      <c r="E231" s="9">
        <v>890487</v>
      </c>
      <c r="F231" s="9">
        <v>10000</v>
      </c>
      <c r="G231" s="9">
        <v>837888</v>
      </c>
      <c r="H231" s="9">
        <v>427425</v>
      </c>
      <c r="I231" s="9">
        <v>410463</v>
      </c>
      <c r="J231" s="9">
        <v>852457</v>
      </c>
      <c r="K231" s="9">
        <v>434621</v>
      </c>
      <c r="L231" s="9">
        <v>417836</v>
      </c>
      <c r="M231" s="14">
        <f t="shared" si="9"/>
        <v>0.98290940188185449</v>
      </c>
      <c r="N231" s="14">
        <f t="shared" si="10"/>
        <v>0.98344304578011643</v>
      </c>
      <c r="O231" s="14">
        <f t="shared" si="11"/>
        <v>0.98235432083401142</v>
      </c>
      <c r="P231" s="9">
        <v>18679</v>
      </c>
      <c r="Q231" s="9">
        <v>9616</v>
      </c>
      <c r="R231" s="9">
        <v>9063</v>
      </c>
    </row>
    <row r="232" spans="1:18" ht="17.45" customHeight="1" x14ac:dyDescent="0.25">
      <c r="A232" s="8">
        <v>1990</v>
      </c>
      <c r="B232" s="8" t="s">
        <v>62</v>
      </c>
      <c r="C232" s="9">
        <v>1750303</v>
      </c>
      <c r="D232" s="9">
        <v>873886</v>
      </c>
      <c r="E232" s="9">
        <v>876417</v>
      </c>
      <c r="F232" s="9">
        <v>10000</v>
      </c>
      <c r="G232" s="9">
        <v>872974</v>
      </c>
      <c r="H232" s="9">
        <v>444121</v>
      </c>
      <c r="I232" s="9">
        <v>428853</v>
      </c>
      <c r="J232" s="9">
        <v>963128</v>
      </c>
      <c r="K232" s="9">
        <v>490789</v>
      </c>
      <c r="L232" s="9">
        <v>472339</v>
      </c>
      <c r="M232" s="14">
        <f t="shared" si="9"/>
        <v>0.90639458099027337</v>
      </c>
      <c r="N232" s="14">
        <f t="shared" si="10"/>
        <v>0.90491229428532427</v>
      </c>
      <c r="O232" s="14">
        <f t="shared" si="11"/>
        <v>0.90793476719051358</v>
      </c>
      <c r="P232" s="9">
        <v>20044</v>
      </c>
      <c r="Q232" s="9">
        <v>10171</v>
      </c>
      <c r="R232" s="9">
        <v>9873</v>
      </c>
    </row>
    <row r="233" spans="1:18" ht="17.45" customHeight="1" x14ac:dyDescent="0.25">
      <c r="A233" s="8">
        <v>2000</v>
      </c>
      <c r="B233" s="8" t="s">
        <v>62</v>
      </c>
      <c r="C233" s="9">
        <v>2192166</v>
      </c>
      <c r="D233" s="9">
        <v>1105020</v>
      </c>
      <c r="E233" s="9">
        <v>1087146</v>
      </c>
      <c r="F233" s="9">
        <v>10000</v>
      </c>
      <c r="G233" s="9">
        <v>1256698</v>
      </c>
      <c r="H233" s="9">
        <v>634590</v>
      </c>
      <c r="I233" s="9">
        <v>622108</v>
      </c>
      <c r="J233" s="9">
        <v>1294817</v>
      </c>
      <c r="K233" s="9">
        <v>654271</v>
      </c>
      <c r="L233" s="9">
        <v>640546</v>
      </c>
      <c r="M233" s="14">
        <f t="shared" si="9"/>
        <v>0.97056031856239144</v>
      </c>
      <c r="N233" s="14">
        <f t="shared" si="10"/>
        <v>0.96991919250585767</v>
      </c>
      <c r="O233" s="14">
        <f t="shared" si="11"/>
        <v>0.97121518204781543</v>
      </c>
      <c r="P233" s="9">
        <v>26020</v>
      </c>
      <c r="Q233" s="9">
        <v>13256</v>
      </c>
      <c r="R233" s="9">
        <v>12764</v>
      </c>
    </row>
    <row r="234" spans="1:18" ht="17.45" customHeight="1" x14ac:dyDescent="0.25">
      <c r="A234" s="2">
        <v>1975</v>
      </c>
      <c r="B234" s="2" t="s">
        <v>102</v>
      </c>
      <c r="C234" s="3">
        <v>470423</v>
      </c>
      <c r="D234" s="3">
        <v>242340</v>
      </c>
      <c r="E234" s="3">
        <v>228083</v>
      </c>
      <c r="F234" s="3">
        <v>5000</v>
      </c>
      <c r="G234" s="3">
        <v>141751</v>
      </c>
      <c r="H234" s="3">
        <v>77672</v>
      </c>
      <c r="I234" s="3">
        <v>64079</v>
      </c>
      <c r="J234" s="3">
        <v>136621</v>
      </c>
      <c r="K234" s="3">
        <v>74646</v>
      </c>
      <c r="L234" s="3">
        <v>61975</v>
      </c>
      <c r="M234" s="13">
        <f t="shared" si="9"/>
        <v>1.0375491322710271</v>
      </c>
      <c r="N234" s="13">
        <f t="shared" si="10"/>
        <v>1.0405380060552474</v>
      </c>
      <c r="O234" s="13">
        <f t="shared" si="11"/>
        <v>1.0339491730536507</v>
      </c>
      <c r="P234" s="3">
        <v>3129</v>
      </c>
      <c r="Q234" s="3">
        <v>1584</v>
      </c>
      <c r="R234" s="3">
        <v>1546</v>
      </c>
    </row>
    <row r="235" spans="1:18" ht="17.45" customHeight="1" x14ac:dyDescent="0.25">
      <c r="A235" s="2">
        <v>1980</v>
      </c>
      <c r="B235" s="2" t="s">
        <v>102</v>
      </c>
      <c r="C235" s="3">
        <v>497089</v>
      </c>
      <c r="D235" s="3">
        <v>251251</v>
      </c>
      <c r="E235" s="3">
        <v>245838</v>
      </c>
      <c r="F235" s="3">
        <v>5000</v>
      </c>
      <c r="G235" s="3">
        <v>163089</v>
      </c>
      <c r="H235" s="3">
        <v>86727</v>
      </c>
      <c r="I235" s="3">
        <v>76362</v>
      </c>
      <c r="J235" s="3">
        <v>162031</v>
      </c>
      <c r="K235" s="3">
        <v>85549</v>
      </c>
      <c r="L235" s="3">
        <v>76482</v>
      </c>
      <c r="M235" s="13">
        <f t="shared" si="9"/>
        <v>1.0065296147033593</v>
      </c>
      <c r="N235" s="13">
        <f t="shared" si="10"/>
        <v>1.0137698862640125</v>
      </c>
      <c r="O235" s="13">
        <f t="shared" si="11"/>
        <v>0.99843100337334278</v>
      </c>
      <c r="P235" s="3">
        <v>3610</v>
      </c>
      <c r="Q235" s="3">
        <v>1837</v>
      </c>
      <c r="R235" s="3">
        <v>1775</v>
      </c>
    </row>
    <row r="236" spans="1:18" ht="17.45" customHeight="1" x14ac:dyDescent="0.25">
      <c r="A236" s="2">
        <v>1985</v>
      </c>
      <c r="B236" s="2" t="s">
        <v>102</v>
      </c>
      <c r="C236" s="3">
        <v>543384</v>
      </c>
      <c r="D236" s="3">
        <v>273694</v>
      </c>
      <c r="E236" s="3">
        <v>269690</v>
      </c>
      <c r="F236" s="3">
        <v>5000</v>
      </c>
      <c r="G236" s="3">
        <v>204547</v>
      </c>
      <c r="H236" s="3">
        <v>107228</v>
      </c>
      <c r="I236" s="3">
        <v>97319</v>
      </c>
      <c r="J236" s="3">
        <v>199499</v>
      </c>
      <c r="K236" s="3">
        <v>103303</v>
      </c>
      <c r="L236" s="3">
        <v>96196</v>
      </c>
      <c r="M236" s="13">
        <f t="shared" si="9"/>
        <v>1.0253033849793733</v>
      </c>
      <c r="N236" s="13">
        <f t="shared" si="10"/>
        <v>1.0379950243458564</v>
      </c>
      <c r="O236" s="13">
        <f t="shared" si="11"/>
        <v>1.011674082082415</v>
      </c>
      <c r="P236" s="3">
        <v>3485</v>
      </c>
      <c r="Q236" s="3">
        <v>1701</v>
      </c>
      <c r="R236" s="3">
        <v>1786</v>
      </c>
    </row>
    <row r="237" spans="1:18" ht="17.45" customHeight="1" x14ac:dyDescent="0.25">
      <c r="A237" s="2">
        <v>1990</v>
      </c>
      <c r="B237" s="2" t="s">
        <v>102</v>
      </c>
      <c r="C237" s="3">
        <v>578020</v>
      </c>
      <c r="D237" s="3">
        <v>289866</v>
      </c>
      <c r="E237" s="3">
        <v>288154</v>
      </c>
      <c r="F237" s="3">
        <v>5000</v>
      </c>
      <c r="G237" s="3">
        <v>229127</v>
      </c>
      <c r="H237" s="3">
        <v>118936</v>
      </c>
      <c r="I237" s="3">
        <v>110191</v>
      </c>
      <c r="J237" s="3">
        <v>241999</v>
      </c>
      <c r="K237" s="3">
        <v>124704</v>
      </c>
      <c r="L237" s="3">
        <v>117295</v>
      </c>
      <c r="M237" s="13">
        <f t="shared" si="9"/>
        <v>0.94680969756073374</v>
      </c>
      <c r="N237" s="13">
        <f t="shared" si="10"/>
        <v>0.95374647164485504</v>
      </c>
      <c r="O237" s="13">
        <f t="shared" si="11"/>
        <v>0.93943475851485569</v>
      </c>
      <c r="P237" s="3">
        <v>4121</v>
      </c>
      <c r="Q237" s="3">
        <v>2060</v>
      </c>
      <c r="R237" s="3">
        <v>2062</v>
      </c>
    </row>
    <row r="238" spans="1:18" ht="17.45" customHeight="1" x14ac:dyDescent="0.25">
      <c r="A238" s="2">
        <v>2000</v>
      </c>
      <c r="B238" s="2" t="s">
        <v>102</v>
      </c>
      <c r="C238" s="3">
        <v>656903</v>
      </c>
      <c r="D238" s="3">
        <v>332259</v>
      </c>
      <c r="E238" s="3">
        <v>324644</v>
      </c>
      <c r="F238" s="3">
        <v>5000</v>
      </c>
      <c r="G238" s="3">
        <v>318596</v>
      </c>
      <c r="H238" s="3">
        <v>163426</v>
      </c>
      <c r="I238" s="3">
        <v>155170</v>
      </c>
      <c r="J238" s="3">
        <v>318869</v>
      </c>
      <c r="K238" s="3">
        <v>163256</v>
      </c>
      <c r="L238" s="3">
        <v>155613</v>
      </c>
      <c r="M238" s="13">
        <f t="shared" si="9"/>
        <v>0.99914384904145592</v>
      </c>
      <c r="N238" s="13">
        <f t="shared" si="10"/>
        <v>1.0010413093546333</v>
      </c>
      <c r="O238" s="13">
        <f t="shared" si="11"/>
        <v>0.99715319414187764</v>
      </c>
      <c r="P238" s="3">
        <v>4837</v>
      </c>
      <c r="Q238" s="3">
        <v>2462</v>
      </c>
      <c r="R238" s="3">
        <v>2375</v>
      </c>
    </row>
    <row r="239" spans="1:18" ht="17.45" customHeight="1" x14ac:dyDescent="0.25">
      <c r="A239" s="8">
        <v>1970</v>
      </c>
      <c r="B239" s="8" t="s">
        <v>64</v>
      </c>
      <c r="C239" s="9">
        <v>510979</v>
      </c>
      <c r="D239" s="9">
        <v>256777</v>
      </c>
      <c r="E239" s="9">
        <v>254202</v>
      </c>
      <c r="F239" s="9">
        <v>10000</v>
      </c>
      <c r="G239" s="9">
        <v>128841</v>
      </c>
      <c r="H239" s="9">
        <v>67655</v>
      </c>
      <c r="I239" s="9">
        <v>61186</v>
      </c>
      <c r="J239" s="9">
        <v>179647</v>
      </c>
      <c r="K239" s="9">
        <v>94884</v>
      </c>
      <c r="L239" s="9">
        <v>84763</v>
      </c>
      <c r="M239" s="14">
        <f t="shared" si="9"/>
        <v>0.71718982226254824</v>
      </c>
      <c r="N239" s="14">
        <f t="shared" si="10"/>
        <v>0.7130285401121369</v>
      </c>
      <c r="O239" s="14">
        <f t="shared" si="11"/>
        <v>0.72184797612165685</v>
      </c>
      <c r="P239" s="9">
        <v>4423</v>
      </c>
      <c r="Q239" s="9">
        <v>2189</v>
      </c>
      <c r="R239" s="9">
        <v>2232</v>
      </c>
    </row>
    <row r="240" spans="1:18" ht="17.45" customHeight="1" x14ac:dyDescent="0.25">
      <c r="A240" s="8">
        <v>1975</v>
      </c>
      <c r="B240" s="8" t="s">
        <v>64</v>
      </c>
      <c r="C240" s="9">
        <v>547558</v>
      </c>
      <c r="D240" s="9">
        <v>294992</v>
      </c>
      <c r="E240" s="9">
        <v>252566</v>
      </c>
      <c r="F240" s="9">
        <v>5000</v>
      </c>
      <c r="G240" s="9">
        <v>208752</v>
      </c>
      <c r="H240" s="9">
        <v>125739</v>
      </c>
      <c r="I240" s="9">
        <v>83013</v>
      </c>
      <c r="J240" s="9">
        <v>215250</v>
      </c>
      <c r="K240" s="9">
        <v>115557</v>
      </c>
      <c r="L240" s="9">
        <v>99693</v>
      </c>
      <c r="M240" s="14">
        <f t="shared" si="9"/>
        <v>0.96981184668989551</v>
      </c>
      <c r="N240" s="14">
        <f t="shared" si="10"/>
        <v>1.08811236013396</v>
      </c>
      <c r="O240" s="14">
        <f t="shared" si="11"/>
        <v>0.83268634708555267</v>
      </c>
      <c r="P240" s="9">
        <v>8413</v>
      </c>
      <c r="Q240" s="9">
        <v>3903</v>
      </c>
      <c r="R240" s="9">
        <v>4698</v>
      </c>
    </row>
    <row r="241" spans="1:18" ht="17.45" customHeight="1" x14ac:dyDescent="0.25">
      <c r="A241" s="8">
        <v>1980</v>
      </c>
      <c r="B241" s="8" t="s">
        <v>64</v>
      </c>
      <c r="C241" s="9">
        <v>606996</v>
      </c>
      <c r="D241" s="9">
        <v>308860</v>
      </c>
      <c r="E241" s="9">
        <v>298136</v>
      </c>
      <c r="F241" s="9">
        <v>10000</v>
      </c>
      <c r="G241" s="9">
        <v>223978</v>
      </c>
      <c r="H241" s="9">
        <v>117250</v>
      </c>
      <c r="I241" s="9">
        <v>106728</v>
      </c>
      <c r="J241" s="9">
        <v>241560</v>
      </c>
      <c r="K241" s="9">
        <v>126778</v>
      </c>
      <c r="L241" s="9">
        <v>114782</v>
      </c>
      <c r="M241" s="14">
        <f t="shared" si="9"/>
        <v>0.92721477065739366</v>
      </c>
      <c r="N241" s="14">
        <f t="shared" si="10"/>
        <v>0.92484500465380426</v>
      </c>
      <c r="O241" s="14">
        <f t="shared" si="11"/>
        <v>0.92983220365562547</v>
      </c>
      <c r="P241" s="9">
        <v>5680</v>
      </c>
      <c r="Q241" s="9">
        <v>2928</v>
      </c>
      <c r="R241" s="9">
        <v>2752</v>
      </c>
    </row>
    <row r="242" spans="1:18" ht="17.45" customHeight="1" x14ac:dyDescent="0.25">
      <c r="A242" s="8">
        <v>1985</v>
      </c>
      <c r="B242" s="8" t="s">
        <v>64</v>
      </c>
      <c r="C242" s="9">
        <v>665809</v>
      </c>
      <c r="D242" s="9">
        <v>338191</v>
      </c>
      <c r="E242" s="9">
        <v>327618</v>
      </c>
      <c r="F242" s="9">
        <v>10000</v>
      </c>
      <c r="G242" s="9">
        <v>290094</v>
      </c>
      <c r="H242" s="9">
        <v>149229</v>
      </c>
      <c r="I242" s="9">
        <v>140865</v>
      </c>
      <c r="J242" s="9">
        <v>307623</v>
      </c>
      <c r="K242" s="9">
        <v>158201</v>
      </c>
      <c r="L242" s="9">
        <v>149422</v>
      </c>
      <c r="M242" s="14">
        <f t="shared" si="9"/>
        <v>0.94301791478530539</v>
      </c>
      <c r="N242" s="14">
        <f t="shared" si="10"/>
        <v>0.9432873369953414</v>
      </c>
      <c r="O242" s="14">
        <f t="shared" si="11"/>
        <v>0.94273266319551341</v>
      </c>
      <c r="P242" s="9">
        <v>6760</v>
      </c>
      <c r="Q242" s="9">
        <v>3473</v>
      </c>
      <c r="R242" s="9">
        <v>3287</v>
      </c>
    </row>
    <row r="243" spans="1:18" ht="17.45" customHeight="1" x14ac:dyDescent="0.25">
      <c r="A243" s="8">
        <v>1990</v>
      </c>
      <c r="B243" s="8" t="s">
        <v>64</v>
      </c>
      <c r="C243" s="9">
        <v>705055</v>
      </c>
      <c r="D243" s="9">
        <v>354141</v>
      </c>
      <c r="E243" s="9">
        <v>350914</v>
      </c>
      <c r="F243" s="9">
        <v>5000</v>
      </c>
      <c r="G243" s="9">
        <v>394185</v>
      </c>
      <c r="H243" s="9">
        <v>202411</v>
      </c>
      <c r="I243" s="9">
        <v>191774</v>
      </c>
      <c r="J243" s="9">
        <v>379188</v>
      </c>
      <c r="K243" s="9">
        <v>194578</v>
      </c>
      <c r="L243" s="9">
        <v>184610</v>
      </c>
      <c r="M243" s="14">
        <f t="shared" si="9"/>
        <v>1.0395503022247539</v>
      </c>
      <c r="N243" s="14">
        <f t="shared" si="10"/>
        <v>1.0402563496387054</v>
      </c>
      <c r="O243" s="14">
        <f t="shared" si="11"/>
        <v>1.0388061318455122</v>
      </c>
      <c r="P243" s="9">
        <v>7175</v>
      </c>
      <c r="Q243" s="9">
        <v>3716</v>
      </c>
      <c r="R243" s="9">
        <v>3459</v>
      </c>
    </row>
    <row r="244" spans="1:18" ht="17.45" customHeight="1" x14ac:dyDescent="0.25">
      <c r="A244" s="8">
        <v>2000</v>
      </c>
      <c r="B244" s="8" t="s">
        <v>64</v>
      </c>
      <c r="C244" s="9">
        <v>853658</v>
      </c>
      <c r="D244" s="9">
        <v>434497</v>
      </c>
      <c r="E244" s="9">
        <v>419161</v>
      </c>
      <c r="F244" s="9">
        <v>10000</v>
      </c>
      <c r="G244" s="9">
        <v>508810</v>
      </c>
      <c r="H244" s="9">
        <v>260269</v>
      </c>
      <c r="I244" s="9">
        <v>248541</v>
      </c>
      <c r="J244" s="9">
        <v>499713</v>
      </c>
      <c r="K244" s="9">
        <v>255271</v>
      </c>
      <c r="L244" s="9">
        <v>244442</v>
      </c>
      <c r="M244" s="14">
        <f t="shared" si="9"/>
        <v>1.0182044493539291</v>
      </c>
      <c r="N244" s="14">
        <f t="shared" si="10"/>
        <v>1.0195791923093496</v>
      </c>
      <c r="O244" s="14">
        <f t="shared" si="11"/>
        <v>1.0167688040516769</v>
      </c>
      <c r="P244" s="9">
        <v>8372</v>
      </c>
      <c r="Q244" s="9">
        <v>4316</v>
      </c>
      <c r="R244" s="9">
        <v>4055</v>
      </c>
    </row>
    <row r="245" spans="1:18" ht="17.45" customHeight="1" x14ac:dyDescent="0.25">
      <c r="A245" s="2">
        <v>1975</v>
      </c>
      <c r="B245" s="2" t="s">
        <v>65</v>
      </c>
      <c r="C245" s="3">
        <v>872375</v>
      </c>
      <c r="D245" s="3">
        <v>440674</v>
      </c>
      <c r="E245" s="3">
        <v>431701</v>
      </c>
      <c r="F245" s="3">
        <v>10000</v>
      </c>
      <c r="G245" s="3">
        <v>334126</v>
      </c>
      <c r="H245" s="3">
        <v>172376</v>
      </c>
      <c r="I245" s="3">
        <v>161750</v>
      </c>
      <c r="J245" s="3">
        <v>341489</v>
      </c>
      <c r="K245" s="3">
        <v>176118</v>
      </c>
      <c r="L245" s="3">
        <v>165371</v>
      </c>
      <c r="M245" s="13">
        <f t="shared" si="9"/>
        <v>0.97843854414051401</v>
      </c>
      <c r="N245" s="13">
        <f t="shared" si="10"/>
        <v>0.97875288159075169</v>
      </c>
      <c r="O245" s="13">
        <f t="shared" si="11"/>
        <v>0.97810377877620625</v>
      </c>
      <c r="P245" s="3">
        <v>7843</v>
      </c>
      <c r="Q245" s="3">
        <v>4011</v>
      </c>
      <c r="R245" s="3">
        <v>3832</v>
      </c>
    </row>
    <row r="246" spans="1:18" ht="17.45" customHeight="1" x14ac:dyDescent="0.25">
      <c r="A246" s="2">
        <v>1980</v>
      </c>
      <c r="B246" s="2" t="s">
        <v>65</v>
      </c>
      <c r="C246" s="3">
        <v>941941</v>
      </c>
      <c r="D246" s="3">
        <v>475195</v>
      </c>
      <c r="E246" s="3">
        <v>466746</v>
      </c>
      <c r="F246" s="3">
        <v>10000</v>
      </c>
      <c r="G246" s="3">
        <v>385077</v>
      </c>
      <c r="H246" s="3">
        <v>200699</v>
      </c>
      <c r="I246" s="3">
        <v>184378</v>
      </c>
      <c r="J246" s="3">
        <v>396297</v>
      </c>
      <c r="K246" s="3">
        <v>206184</v>
      </c>
      <c r="L246" s="3">
        <v>190113</v>
      </c>
      <c r="M246" s="13">
        <f t="shared" si="9"/>
        <v>0.97168790074111089</v>
      </c>
      <c r="N246" s="13">
        <f t="shared" si="10"/>
        <v>0.97339754782136345</v>
      </c>
      <c r="O246" s="13">
        <f t="shared" si="11"/>
        <v>0.9698337304655652</v>
      </c>
      <c r="P246" s="3">
        <v>8624</v>
      </c>
      <c r="Q246" s="3">
        <v>4418</v>
      </c>
      <c r="R246" s="3">
        <v>4207</v>
      </c>
    </row>
    <row r="247" spans="1:18" ht="17.45" customHeight="1" x14ac:dyDescent="0.25">
      <c r="A247" s="2">
        <v>1985</v>
      </c>
      <c r="B247" s="2" t="s">
        <v>65</v>
      </c>
      <c r="C247" s="3">
        <v>1050130</v>
      </c>
      <c r="D247" s="3">
        <v>531281</v>
      </c>
      <c r="E247" s="3">
        <v>518849</v>
      </c>
      <c r="F247" s="3">
        <v>10000</v>
      </c>
      <c r="G247" s="3">
        <v>467978</v>
      </c>
      <c r="H247" s="3">
        <v>243722</v>
      </c>
      <c r="I247" s="3">
        <v>224256</v>
      </c>
      <c r="J247" s="3">
        <v>481897</v>
      </c>
      <c r="K247" s="3">
        <v>250626</v>
      </c>
      <c r="L247" s="3">
        <v>231271</v>
      </c>
      <c r="M247" s="13">
        <f t="shared" si="9"/>
        <v>0.97111623438203598</v>
      </c>
      <c r="N247" s="13">
        <f t="shared" si="10"/>
        <v>0.97245297774372974</v>
      </c>
      <c r="O247" s="13">
        <f t="shared" si="11"/>
        <v>0.96966761937294343</v>
      </c>
      <c r="P247" s="3">
        <v>8747</v>
      </c>
      <c r="Q247" s="3">
        <v>4471</v>
      </c>
      <c r="R247" s="3">
        <v>4276</v>
      </c>
    </row>
    <row r="248" spans="1:18" ht="17.45" customHeight="1" x14ac:dyDescent="0.25">
      <c r="A248" s="2">
        <v>1990</v>
      </c>
      <c r="B248" s="2" t="s">
        <v>65</v>
      </c>
      <c r="C248" s="3">
        <v>1154418</v>
      </c>
      <c r="D248" s="3">
        <v>583838</v>
      </c>
      <c r="E248" s="3">
        <v>570580</v>
      </c>
      <c r="F248" s="3">
        <v>10000</v>
      </c>
      <c r="G248" s="3">
        <v>568018</v>
      </c>
      <c r="H248" s="3">
        <v>294985</v>
      </c>
      <c r="I248" s="3">
        <v>273033</v>
      </c>
      <c r="J248" s="3">
        <v>590374</v>
      </c>
      <c r="K248" s="3">
        <v>306274</v>
      </c>
      <c r="L248" s="3">
        <v>284100</v>
      </c>
      <c r="M248" s="13">
        <f t="shared" si="9"/>
        <v>0.96213247873381957</v>
      </c>
      <c r="N248" s="13">
        <f t="shared" si="10"/>
        <v>0.96314084773764663</v>
      </c>
      <c r="O248" s="13">
        <f t="shared" si="11"/>
        <v>0.96104540654699044</v>
      </c>
      <c r="P248" s="3">
        <v>10907</v>
      </c>
      <c r="Q248" s="3">
        <v>5631</v>
      </c>
      <c r="R248" s="3">
        <v>5277</v>
      </c>
    </row>
    <row r="249" spans="1:18" ht="17.45" customHeight="1" x14ac:dyDescent="0.25">
      <c r="A249" s="2">
        <v>2000</v>
      </c>
      <c r="B249" s="2" t="s">
        <v>65</v>
      </c>
      <c r="C249" s="3">
        <v>1260169</v>
      </c>
      <c r="D249" s="3">
        <v>630241</v>
      </c>
      <c r="E249" s="3">
        <v>629928</v>
      </c>
      <c r="F249" s="3">
        <v>10000</v>
      </c>
      <c r="G249" s="3">
        <v>701616</v>
      </c>
      <c r="H249" s="3">
        <v>353905</v>
      </c>
      <c r="I249" s="3">
        <v>347711</v>
      </c>
      <c r="J249" s="3">
        <v>714760</v>
      </c>
      <c r="K249" s="3">
        <v>360404</v>
      </c>
      <c r="L249" s="3">
        <v>354356</v>
      </c>
      <c r="M249" s="13">
        <f t="shared" si="9"/>
        <v>0.98161061055459176</v>
      </c>
      <c r="N249" s="13">
        <f t="shared" si="10"/>
        <v>0.98196745874074653</v>
      </c>
      <c r="O249" s="13">
        <f t="shared" si="11"/>
        <v>0.98124767183284611</v>
      </c>
      <c r="P249" s="3">
        <v>11566</v>
      </c>
      <c r="Q249" s="3">
        <v>6006</v>
      </c>
      <c r="R249" s="3">
        <v>5559</v>
      </c>
    </row>
    <row r="250" spans="1:18" ht="17.45" customHeight="1" x14ac:dyDescent="0.25">
      <c r="A250" s="8">
        <v>1980</v>
      </c>
      <c r="B250" s="8" t="s">
        <v>66</v>
      </c>
      <c r="C250" s="9">
        <v>564967</v>
      </c>
      <c r="D250" s="9">
        <v>288385</v>
      </c>
      <c r="E250" s="9">
        <v>276582</v>
      </c>
      <c r="F250" s="9">
        <v>5000</v>
      </c>
      <c r="G250" s="9">
        <v>188844</v>
      </c>
      <c r="H250" s="9">
        <v>101201</v>
      </c>
      <c r="I250" s="9">
        <v>87643</v>
      </c>
      <c r="J250" s="9">
        <v>192004</v>
      </c>
      <c r="K250" s="9">
        <v>103045</v>
      </c>
      <c r="L250" s="9">
        <v>88959</v>
      </c>
      <c r="M250" s="14">
        <f t="shared" si="9"/>
        <v>0.98354200954146787</v>
      </c>
      <c r="N250" s="14">
        <f t="shared" si="10"/>
        <v>0.98210490562375663</v>
      </c>
      <c r="O250" s="14">
        <f t="shared" si="11"/>
        <v>0.98520666824042535</v>
      </c>
      <c r="P250" s="9">
        <v>4698</v>
      </c>
      <c r="Q250" s="9">
        <v>2418</v>
      </c>
      <c r="R250" s="9">
        <v>2280</v>
      </c>
    </row>
    <row r="251" spans="1:18" ht="17.45" customHeight="1" x14ac:dyDescent="0.25">
      <c r="A251" s="8">
        <v>1985</v>
      </c>
      <c r="B251" s="8" t="s">
        <v>66</v>
      </c>
      <c r="C251" s="9">
        <v>652069</v>
      </c>
      <c r="D251" s="9">
        <v>332812</v>
      </c>
      <c r="E251" s="9">
        <v>319257</v>
      </c>
      <c r="F251" s="9">
        <v>5000</v>
      </c>
      <c r="G251" s="9">
        <v>253798</v>
      </c>
      <c r="H251" s="9">
        <v>135325</v>
      </c>
      <c r="I251" s="9">
        <v>118473</v>
      </c>
      <c r="J251" s="9">
        <v>244000</v>
      </c>
      <c r="K251" s="9">
        <v>130405</v>
      </c>
      <c r="L251" s="9">
        <v>113595</v>
      </c>
      <c r="M251" s="14">
        <f t="shared" si="9"/>
        <v>1.040155737704918</v>
      </c>
      <c r="N251" s="14">
        <f t="shared" si="10"/>
        <v>1.0377286147003566</v>
      </c>
      <c r="O251" s="14">
        <f t="shared" si="11"/>
        <v>1.0429420308992474</v>
      </c>
      <c r="P251" s="9">
        <v>5527</v>
      </c>
      <c r="Q251" s="9">
        <v>2834</v>
      </c>
      <c r="R251" s="9">
        <v>2692</v>
      </c>
    </row>
    <row r="252" spans="1:18" ht="17.45" customHeight="1" x14ac:dyDescent="0.25">
      <c r="A252" s="8">
        <v>1990</v>
      </c>
      <c r="B252" s="8" t="s">
        <v>66</v>
      </c>
      <c r="C252" s="9">
        <v>557727</v>
      </c>
      <c r="D252" s="9">
        <v>282459</v>
      </c>
      <c r="E252" s="9">
        <v>275268</v>
      </c>
      <c r="F252" s="9">
        <v>10000</v>
      </c>
      <c r="G252" s="9">
        <v>237707</v>
      </c>
      <c r="H252" s="9">
        <v>123528</v>
      </c>
      <c r="I252" s="9">
        <v>114179</v>
      </c>
      <c r="J252" s="9">
        <v>249032</v>
      </c>
      <c r="K252" s="9">
        <v>129819</v>
      </c>
      <c r="L252" s="9">
        <v>119213</v>
      </c>
      <c r="M252" s="14">
        <f t="shared" si="9"/>
        <v>0.95452391660509495</v>
      </c>
      <c r="N252" s="14">
        <f t="shared" si="10"/>
        <v>0.95154022138515937</v>
      </c>
      <c r="O252" s="14">
        <f t="shared" si="11"/>
        <v>0.95777306166273812</v>
      </c>
      <c r="P252" s="9">
        <v>8101</v>
      </c>
      <c r="Q252" s="9">
        <v>4192</v>
      </c>
      <c r="R252" s="9">
        <v>3909</v>
      </c>
    </row>
    <row r="253" spans="1:18" ht="17.45" customHeight="1" x14ac:dyDescent="0.25">
      <c r="A253" s="8">
        <v>2000</v>
      </c>
      <c r="B253" s="8" t="s">
        <v>66</v>
      </c>
      <c r="C253" s="9">
        <v>705098</v>
      </c>
      <c r="D253" s="9">
        <v>362167</v>
      </c>
      <c r="E253" s="9">
        <v>342931</v>
      </c>
      <c r="F253" s="9">
        <v>10000</v>
      </c>
      <c r="G253" s="9">
        <v>376235</v>
      </c>
      <c r="H253" s="9">
        <v>196227</v>
      </c>
      <c r="I253" s="9">
        <v>180008</v>
      </c>
      <c r="J253" s="9">
        <v>391249</v>
      </c>
      <c r="K253" s="9">
        <v>204132</v>
      </c>
      <c r="L253" s="9">
        <v>187117</v>
      </c>
      <c r="M253" s="14">
        <f t="shared" si="9"/>
        <v>0.96162546102354252</v>
      </c>
      <c r="N253" s="14">
        <f t="shared" si="10"/>
        <v>0.9612750573158545</v>
      </c>
      <c r="O253" s="14">
        <f t="shared" si="11"/>
        <v>0.96200772778528942</v>
      </c>
      <c r="P253" s="9">
        <v>10274</v>
      </c>
      <c r="Q253" s="9">
        <v>5390</v>
      </c>
      <c r="R253" s="9">
        <v>4885</v>
      </c>
    </row>
    <row r="254" spans="1:18" ht="17.45" customHeight="1" x14ac:dyDescent="0.25">
      <c r="A254" s="2">
        <v>1975</v>
      </c>
      <c r="B254" s="2" t="s">
        <v>39</v>
      </c>
      <c r="C254" s="3">
        <v>714817</v>
      </c>
      <c r="D254" s="3">
        <v>369269</v>
      </c>
      <c r="E254" s="3">
        <v>345548</v>
      </c>
      <c r="F254" s="3">
        <v>10000</v>
      </c>
      <c r="G254" s="3">
        <v>326556</v>
      </c>
      <c r="H254" s="3">
        <v>173355</v>
      </c>
      <c r="I254" s="3">
        <v>153201</v>
      </c>
      <c r="J254" s="3">
        <v>332900</v>
      </c>
      <c r="K254" s="3">
        <v>176705</v>
      </c>
      <c r="L254" s="3">
        <v>156195</v>
      </c>
      <c r="M254" s="13">
        <f t="shared" si="9"/>
        <v>0.98094322619405228</v>
      </c>
      <c r="N254" s="13">
        <f t="shared" si="10"/>
        <v>0.9810418494100337</v>
      </c>
      <c r="O254" s="13">
        <f t="shared" si="11"/>
        <v>0.98083165274176509</v>
      </c>
      <c r="P254" s="3">
        <v>12015</v>
      </c>
      <c r="Q254" s="3">
        <v>6283</v>
      </c>
      <c r="R254" s="3">
        <v>5732</v>
      </c>
    </row>
    <row r="255" spans="1:18" ht="17.45" customHeight="1" x14ac:dyDescent="0.25">
      <c r="A255" s="2">
        <v>1980</v>
      </c>
      <c r="B255" s="2" t="s">
        <v>39</v>
      </c>
      <c r="C255" s="3">
        <v>843931</v>
      </c>
      <c r="D255" s="3">
        <v>429721</v>
      </c>
      <c r="E255" s="3">
        <v>414210</v>
      </c>
      <c r="F255" s="3">
        <v>10000</v>
      </c>
      <c r="G255" s="3">
        <v>427830</v>
      </c>
      <c r="H255" s="3">
        <v>220692</v>
      </c>
      <c r="I255" s="3">
        <v>207138</v>
      </c>
      <c r="J255" s="3">
        <v>424544</v>
      </c>
      <c r="K255" s="3">
        <v>217982</v>
      </c>
      <c r="L255" s="3">
        <v>206562</v>
      </c>
      <c r="M255" s="13">
        <f t="shared" si="9"/>
        <v>1.0077400693449914</v>
      </c>
      <c r="N255" s="13">
        <f t="shared" si="10"/>
        <v>1.0124322191740602</v>
      </c>
      <c r="O255" s="13">
        <f t="shared" si="11"/>
        <v>1.0027885090190838</v>
      </c>
      <c r="P255" s="3">
        <v>10647</v>
      </c>
      <c r="Q255" s="3">
        <v>5417</v>
      </c>
      <c r="R255" s="3">
        <v>5230</v>
      </c>
    </row>
    <row r="256" spans="1:18" ht="17.45" customHeight="1" x14ac:dyDescent="0.25">
      <c r="A256" s="2">
        <v>1985</v>
      </c>
      <c r="B256" s="2" t="s">
        <v>39</v>
      </c>
      <c r="C256" s="3">
        <v>1034085</v>
      </c>
      <c r="D256" s="3">
        <v>527092</v>
      </c>
      <c r="E256" s="3">
        <v>506993</v>
      </c>
      <c r="F256" s="3">
        <v>10000</v>
      </c>
      <c r="G256" s="3">
        <v>585376</v>
      </c>
      <c r="H256" s="3">
        <v>301831</v>
      </c>
      <c r="I256" s="3">
        <v>283545</v>
      </c>
      <c r="J256" s="3">
        <v>566419</v>
      </c>
      <c r="K256" s="3">
        <v>291928</v>
      </c>
      <c r="L256" s="3">
        <v>274491</v>
      </c>
      <c r="M256" s="13">
        <f t="shared" si="9"/>
        <v>1.0334681569650737</v>
      </c>
      <c r="N256" s="13">
        <f t="shared" si="10"/>
        <v>1.0339227480748678</v>
      </c>
      <c r="O256" s="13">
        <f t="shared" si="11"/>
        <v>1.0329846880225582</v>
      </c>
      <c r="P256" s="3">
        <v>11888</v>
      </c>
      <c r="Q256" s="3">
        <v>5982</v>
      </c>
      <c r="R256" s="3">
        <v>5906</v>
      </c>
    </row>
    <row r="257" spans="1:18" ht="17.45" customHeight="1" x14ac:dyDescent="0.25">
      <c r="A257" s="2">
        <v>1990</v>
      </c>
      <c r="B257" s="2" t="s">
        <v>39</v>
      </c>
      <c r="C257" s="3">
        <v>1266995</v>
      </c>
      <c r="D257" s="3">
        <v>645244</v>
      </c>
      <c r="E257" s="3">
        <v>621751</v>
      </c>
      <c r="F257" s="3">
        <v>10000</v>
      </c>
      <c r="G257" s="3">
        <v>799013</v>
      </c>
      <c r="H257" s="3">
        <v>409033</v>
      </c>
      <c r="I257" s="3">
        <v>389980</v>
      </c>
      <c r="J257" s="3">
        <v>787284</v>
      </c>
      <c r="K257" s="3">
        <v>402880</v>
      </c>
      <c r="L257" s="3">
        <v>384404</v>
      </c>
      <c r="M257" s="13">
        <f t="shared" si="9"/>
        <v>1.0148980545775095</v>
      </c>
      <c r="N257" s="13">
        <f t="shared" si="10"/>
        <v>1.0152725377283558</v>
      </c>
      <c r="O257" s="13">
        <f t="shared" si="11"/>
        <v>1.0145055722625156</v>
      </c>
      <c r="P257" s="3">
        <v>17037</v>
      </c>
      <c r="Q257" s="3">
        <v>8712</v>
      </c>
      <c r="R257" s="3">
        <v>8325</v>
      </c>
    </row>
    <row r="258" spans="1:18" ht="17.45" customHeight="1" x14ac:dyDescent="0.25">
      <c r="A258" s="2">
        <v>2000</v>
      </c>
      <c r="B258" s="2" t="s">
        <v>39</v>
      </c>
      <c r="C258" s="3">
        <v>1651400</v>
      </c>
      <c r="D258" s="3">
        <v>829742</v>
      </c>
      <c r="E258" s="3">
        <v>821658</v>
      </c>
      <c r="F258" s="3">
        <v>20000</v>
      </c>
      <c r="G258" s="3">
        <v>1045954</v>
      </c>
      <c r="H258" s="3">
        <v>521423</v>
      </c>
      <c r="I258" s="3">
        <v>524531</v>
      </c>
      <c r="J258" s="3">
        <v>999220</v>
      </c>
      <c r="K258" s="3">
        <v>498178</v>
      </c>
      <c r="L258" s="3">
        <v>501042</v>
      </c>
      <c r="M258" s="13">
        <f t="shared" si="9"/>
        <v>1.0467704809751606</v>
      </c>
      <c r="N258" s="13">
        <f t="shared" si="10"/>
        <v>1.0466600291462087</v>
      </c>
      <c r="O258" s="13">
        <f t="shared" si="11"/>
        <v>1.0468803014517745</v>
      </c>
      <c r="P258" s="3">
        <v>18493</v>
      </c>
      <c r="Q258" s="3">
        <v>9458</v>
      </c>
      <c r="R258" s="3">
        <v>9035</v>
      </c>
    </row>
    <row r="259" spans="1:18" ht="17.45" customHeight="1" x14ac:dyDescent="0.25">
      <c r="A259" s="8">
        <v>1975</v>
      </c>
      <c r="B259" s="8" t="s">
        <v>67</v>
      </c>
      <c r="C259" s="9">
        <v>400796</v>
      </c>
      <c r="D259" s="9">
        <v>201664</v>
      </c>
      <c r="E259" s="9">
        <v>199132</v>
      </c>
      <c r="F259" s="9">
        <v>5000</v>
      </c>
      <c r="G259" s="9">
        <v>92924</v>
      </c>
      <c r="H259" s="9">
        <v>48135</v>
      </c>
      <c r="I259" s="9">
        <v>44789</v>
      </c>
      <c r="J259" s="9">
        <v>85011</v>
      </c>
      <c r="K259" s="9">
        <v>44078</v>
      </c>
      <c r="L259" s="9">
        <v>40933</v>
      </c>
      <c r="M259" s="14">
        <f t="shared" si="9"/>
        <v>1.0930820717318934</v>
      </c>
      <c r="N259" s="14">
        <f t="shared" si="10"/>
        <v>1.0920413811878942</v>
      </c>
      <c r="O259" s="14">
        <f t="shared" si="11"/>
        <v>1.0942027215205337</v>
      </c>
      <c r="P259" s="9">
        <v>1735</v>
      </c>
      <c r="Q259" s="9">
        <v>884</v>
      </c>
      <c r="R259" s="9">
        <v>852</v>
      </c>
    </row>
    <row r="260" spans="1:18" ht="17.45" customHeight="1" x14ac:dyDescent="0.25">
      <c r="A260" s="8">
        <v>1980</v>
      </c>
      <c r="B260" s="8" t="s">
        <v>67</v>
      </c>
      <c r="C260" s="9">
        <v>438145</v>
      </c>
      <c r="D260" s="9">
        <v>220966</v>
      </c>
      <c r="E260" s="9">
        <v>217179</v>
      </c>
      <c r="F260" s="9">
        <v>5000</v>
      </c>
      <c r="G260" s="9">
        <v>126010</v>
      </c>
      <c r="H260" s="9">
        <v>65616</v>
      </c>
      <c r="I260" s="9">
        <v>60394</v>
      </c>
      <c r="J260" s="9">
        <v>100314</v>
      </c>
      <c r="K260" s="9">
        <v>52487</v>
      </c>
      <c r="L260" s="9">
        <v>47827</v>
      </c>
      <c r="M260" s="14">
        <f t="shared" ref="M260:M323" si="15">G260/J260</f>
        <v>1.2561556711924557</v>
      </c>
      <c r="N260" s="14">
        <f t="shared" ref="N260:N323" si="16">H260/K260</f>
        <v>1.2501381294415761</v>
      </c>
      <c r="O260" s="14">
        <f t="shared" ref="O260:O323" si="17">I260/L260</f>
        <v>1.2627595291362619</v>
      </c>
      <c r="P260" s="9">
        <v>1964</v>
      </c>
      <c r="Q260" s="9">
        <v>1036</v>
      </c>
      <c r="R260" s="9">
        <v>928</v>
      </c>
    </row>
    <row r="261" spans="1:18" ht="17.45" customHeight="1" x14ac:dyDescent="0.25">
      <c r="A261" s="8">
        <v>1985</v>
      </c>
      <c r="B261" s="8" t="s">
        <v>67</v>
      </c>
      <c r="C261" s="9">
        <v>486290</v>
      </c>
      <c r="D261" s="9">
        <v>249156</v>
      </c>
      <c r="E261" s="9">
        <v>237134</v>
      </c>
      <c r="F261" s="9">
        <v>10000</v>
      </c>
      <c r="G261" s="9">
        <v>123815</v>
      </c>
      <c r="H261" s="9">
        <v>65130</v>
      </c>
      <c r="I261" s="9">
        <v>58685</v>
      </c>
      <c r="J261" s="9">
        <v>136160</v>
      </c>
      <c r="K261" s="9">
        <v>72089</v>
      </c>
      <c r="L261" s="9">
        <v>64071</v>
      </c>
      <c r="M261" s="14">
        <f t="shared" si="15"/>
        <v>0.90933460634547592</v>
      </c>
      <c r="N261" s="14">
        <f t="shared" si="16"/>
        <v>0.90346654829446937</v>
      </c>
      <c r="O261" s="14">
        <f t="shared" si="17"/>
        <v>0.91593700738243511</v>
      </c>
      <c r="P261" s="9">
        <v>2331</v>
      </c>
      <c r="Q261" s="9">
        <v>1183</v>
      </c>
      <c r="R261" s="9">
        <v>1147</v>
      </c>
    </row>
    <row r="262" spans="1:18" ht="17.45" customHeight="1" x14ac:dyDescent="0.25">
      <c r="A262" s="8">
        <v>1990</v>
      </c>
      <c r="B262" s="8" t="s">
        <v>67</v>
      </c>
      <c r="C262" s="9">
        <v>562809</v>
      </c>
      <c r="D262" s="9">
        <v>294230</v>
      </c>
      <c r="E262" s="9">
        <v>268579</v>
      </c>
      <c r="F262" s="9">
        <v>10000</v>
      </c>
      <c r="G262" s="9">
        <v>178128</v>
      </c>
      <c r="H262" s="9">
        <v>94994</v>
      </c>
      <c r="I262" s="9">
        <v>83134</v>
      </c>
      <c r="J262" s="9">
        <v>186397</v>
      </c>
      <c r="K262" s="9">
        <v>99598</v>
      </c>
      <c r="L262" s="9">
        <v>86799</v>
      </c>
      <c r="M262" s="14">
        <f t="shared" si="15"/>
        <v>0.95563769803162069</v>
      </c>
      <c r="N262" s="14">
        <f t="shared" si="16"/>
        <v>0.95377417217213201</v>
      </c>
      <c r="O262" s="14">
        <f t="shared" si="17"/>
        <v>0.95777601124436917</v>
      </c>
      <c r="P262" s="9">
        <v>3143</v>
      </c>
      <c r="Q262" s="9">
        <v>1600</v>
      </c>
      <c r="R262" s="9">
        <v>1543</v>
      </c>
    </row>
    <row r="263" spans="1:18" ht="17.45" customHeight="1" x14ac:dyDescent="0.25">
      <c r="A263" s="8">
        <v>2000</v>
      </c>
      <c r="B263" s="8" t="s">
        <v>67</v>
      </c>
      <c r="C263" s="9">
        <v>715328</v>
      </c>
      <c r="D263" s="9">
        <v>376677</v>
      </c>
      <c r="E263" s="9">
        <v>338651</v>
      </c>
      <c r="F263" s="9">
        <v>10000</v>
      </c>
      <c r="G263" s="9">
        <v>256437</v>
      </c>
      <c r="H263" s="9">
        <v>135765</v>
      </c>
      <c r="I263" s="9">
        <v>120672</v>
      </c>
      <c r="J263" s="9">
        <v>268341</v>
      </c>
      <c r="K263" s="9">
        <v>141796</v>
      </c>
      <c r="L263" s="9">
        <v>126545</v>
      </c>
      <c r="M263" s="14">
        <f t="shared" si="15"/>
        <v>0.95563853455118675</v>
      </c>
      <c r="N263" s="14">
        <f t="shared" si="16"/>
        <v>0.95746706536150528</v>
      </c>
      <c r="O263" s="14">
        <f t="shared" si="17"/>
        <v>0.95358963214666714</v>
      </c>
      <c r="P263" s="9">
        <v>3837</v>
      </c>
      <c r="Q263" s="9">
        <v>1968</v>
      </c>
      <c r="R263" s="9">
        <v>1870</v>
      </c>
    </row>
    <row r="264" spans="1:18" ht="17.45" customHeight="1" x14ac:dyDescent="0.25">
      <c r="A264" s="2">
        <v>1975</v>
      </c>
      <c r="B264" s="2" t="s">
        <v>68</v>
      </c>
      <c r="C264" s="3">
        <v>267203</v>
      </c>
      <c r="D264" s="3">
        <v>138880</v>
      </c>
      <c r="E264" s="3">
        <v>128323</v>
      </c>
      <c r="F264" s="3">
        <v>5000</v>
      </c>
      <c r="G264" s="3">
        <v>54723</v>
      </c>
      <c r="H264" s="3">
        <v>30990</v>
      </c>
      <c r="I264" s="3">
        <v>23733</v>
      </c>
      <c r="J264" s="3">
        <v>54723</v>
      </c>
      <c r="K264" s="3">
        <v>30990</v>
      </c>
      <c r="L264" s="3">
        <v>23733</v>
      </c>
      <c r="M264" s="13">
        <f t="shared" si="15"/>
        <v>1</v>
      </c>
      <c r="N264" s="13">
        <f t="shared" si="16"/>
        <v>1</v>
      </c>
      <c r="O264" s="13">
        <f t="shared" si="17"/>
        <v>1</v>
      </c>
      <c r="P264" s="3">
        <v>3312</v>
      </c>
      <c r="Q264" s="3">
        <v>1844</v>
      </c>
      <c r="R264" s="3">
        <v>1468</v>
      </c>
    </row>
    <row r="265" spans="1:18" ht="17.45" customHeight="1" x14ac:dyDescent="0.25">
      <c r="A265" s="2">
        <v>1980</v>
      </c>
      <c r="B265" s="2" t="s">
        <v>68</v>
      </c>
      <c r="C265" s="3">
        <v>302406</v>
      </c>
      <c r="D265" s="3">
        <v>156610</v>
      </c>
      <c r="E265" s="3">
        <v>145796</v>
      </c>
      <c r="F265" s="3">
        <v>5000</v>
      </c>
      <c r="G265" s="3">
        <v>71077</v>
      </c>
      <c r="H265" s="3">
        <v>39058</v>
      </c>
      <c r="I265" s="3">
        <v>32019</v>
      </c>
      <c r="J265" s="3">
        <v>71077</v>
      </c>
      <c r="K265" s="3">
        <v>39058</v>
      </c>
      <c r="L265" s="3">
        <v>32019</v>
      </c>
      <c r="M265" s="13">
        <f t="shared" si="15"/>
        <v>1</v>
      </c>
      <c r="N265" s="13">
        <f t="shared" si="16"/>
        <v>1</v>
      </c>
      <c r="O265" s="13">
        <f t="shared" si="17"/>
        <v>1</v>
      </c>
      <c r="P265" s="3">
        <v>1787</v>
      </c>
      <c r="Q265" s="3">
        <v>900</v>
      </c>
      <c r="R265" s="3">
        <v>887</v>
      </c>
    </row>
    <row r="266" spans="1:18" ht="17.45" customHeight="1" x14ac:dyDescent="0.25">
      <c r="A266" s="2">
        <v>1985</v>
      </c>
      <c r="B266" s="2" t="s">
        <v>68</v>
      </c>
      <c r="C266" s="3">
        <v>339492</v>
      </c>
      <c r="D266" s="3">
        <v>174542</v>
      </c>
      <c r="E266" s="3">
        <v>164950</v>
      </c>
      <c r="F266" s="3">
        <v>10000</v>
      </c>
      <c r="G266" s="3">
        <v>69727</v>
      </c>
      <c r="H266" s="3">
        <v>38668</v>
      </c>
      <c r="I266" s="3">
        <v>31059</v>
      </c>
      <c r="J266" s="3">
        <v>78477</v>
      </c>
      <c r="K266" s="3">
        <v>43226</v>
      </c>
      <c r="L266" s="3">
        <v>35251</v>
      </c>
      <c r="M266" s="13">
        <f t="shared" si="15"/>
        <v>0.88850236374988856</v>
      </c>
      <c r="N266" s="13">
        <f t="shared" si="16"/>
        <v>0.89455420348864112</v>
      </c>
      <c r="O266" s="13">
        <f t="shared" si="17"/>
        <v>0.88108138776204925</v>
      </c>
      <c r="P266" s="3">
        <v>1459</v>
      </c>
      <c r="Q266" s="3">
        <v>776</v>
      </c>
      <c r="R266" s="3">
        <v>683</v>
      </c>
    </row>
    <row r="267" spans="1:18" ht="17.45" customHeight="1" x14ac:dyDescent="0.25">
      <c r="A267" s="2">
        <v>1990</v>
      </c>
      <c r="B267" s="2" t="s">
        <v>68</v>
      </c>
      <c r="C267" s="3">
        <v>376543</v>
      </c>
      <c r="D267" s="3">
        <v>192327</v>
      </c>
      <c r="E267" s="3">
        <v>184216</v>
      </c>
      <c r="F267" s="3">
        <v>10000</v>
      </c>
      <c r="G267" s="3">
        <v>97942</v>
      </c>
      <c r="H267" s="3">
        <v>51499</v>
      </c>
      <c r="I267" s="3">
        <v>46443</v>
      </c>
      <c r="J267" s="3">
        <v>101154</v>
      </c>
      <c r="K267" s="3">
        <v>53510</v>
      </c>
      <c r="L267" s="3">
        <v>47644</v>
      </c>
      <c r="M267" s="13">
        <f t="shared" si="15"/>
        <v>0.96824643612709338</v>
      </c>
      <c r="N267" s="13">
        <f t="shared" si="16"/>
        <v>0.96241823958138661</v>
      </c>
      <c r="O267" s="13">
        <f t="shared" si="17"/>
        <v>0.97479220888254559</v>
      </c>
      <c r="P267" s="3">
        <v>2322</v>
      </c>
      <c r="Q267" s="3">
        <v>1238</v>
      </c>
      <c r="R267" s="3">
        <v>1084</v>
      </c>
    </row>
    <row r="268" spans="1:18" ht="17.45" customHeight="1" x14ac:dyDescent="0.25">
      <c r="A268" s="2">
        <v>2000</v>
      </c>
      <c r="B268" s="2" t="s">
        <v>68</v>
      </c>
      <c r="C268" s="3">
        <v>453654</v>
      </c>
      <c r="D268" s="3">
        <v>236214</v>
      </c>
      <c r="E268" s="3">
        <v>217440</v>
      </c>
      <c r="F268" s="3">
        <v>10000</v>
      </c>
      <c r="G268" s="3">
        <v>153368</v>
      </c>
      <c r="H268" s="3">
        <v>82332</v>
      </c>
      <c r="I268" s="3">
        <v>71036</v>
      </c>
      <c r="J268" s="3">
        <v>159503</v>
      </c>
      <c r="K268" s="3">
        <v>86231</v>
      </c>
      <c r="L268" s="3">
        <v>73272</v>
      </c>
      <c r="M268" s="13">
        <f t="shared" si="15"/>
        <v>0.96153677360300438</v>
      </c>
      <c r="N268" s="13">
        <f t="shared" si="16"/>
        <v>0.95478424232584569</v>
      </c>
      <c r="O268" s="13">
        <f t="shared" si="17"/>
        <v>0.96948356807511737</v>
      </c>
      <c r="P268" s="3">
        <v>3617</v>
      </c>
      <c r="Q268" s="3">
        <v>1845</v>
      </c>
      <c r="R268" s="3">
        <v>1770</v>
      </c>
    </row>
    <row r="269" spans="1:18" ht="17.45" customHeight="1" x14ac:dyDescent="0.25">
      <c r="A269" s="8">
        <v>1975</v>
      </c>
      <c r="B269" s="8" t="s">
        <v>69</v>
      </c>
      <c r="C269" s="9">
        <v>249308</v>
      </c>
      <c r="D269" s="9">
        <v>124927</v>
      </c>
      <c r="E269" s="9">
        <v>124381</v>
      </c>
      <c r="F269" s="9">
        <v>5000</v>
      </c>
      <c r="G269" s="9">
        <v>68634</v>
      </c>
      <c r="H269" s="9">
        <v>36318</v>
      </c>
      <c r="I269" s="9">
        <v>32316</v>
      </c>
      <c r="J269" s="9">
        <v>68634</v>
      </c>
      <c r="K269" s="9">
        <v>36318</v>
      </c>
      <c r="L269" s="9">
        <v>32316</v>
      </c>
      <c r="M269" s="14">
        <f t="shared" si="15"/>
        <v>1</v>
      </c>
      <c r="N269" s="14">
        <f t="shared" si="16"/>
        <v>1</v>
      </c>
      <c r="O269" s="14">
        <f t="shared" si="17"/>
        <v>1</v>
      </c>
      <c r="P269" s="9">
        <v>2785</v>
      </c>
      <c r="Q269" s="9">
        <v>1501</v>
      </c>
      <c r="R269" s="9">
        <v>1284</v>
      </c>
    </row>
    <row r="270" spans="1:18" ht="17.45" customHeight="1" x14ac:dyDescent="0.25">
      <c r="A270" s="8">
        <v>1980</v>
      </c>
      <c r="B270" s="8" t="s">
        <v>69</v>
      </c>
      <c r="C270" s="9">
        <v>256933</v>
      </c>
      <c r="D270" s="9">
        <v>124869</v>
      </c>
      <c r="E270" s="9">
        <v>132064</v>
      </c>
      <c r="F270" s="9">
        <v>5000</v>
      </c>
      <c r="G270" s="9">
        <v>77404</v>
      </c>
      <c r="H270" s="9">
        <v>40098</v>
      </c>
      <c r="I270" s="9">
        <v>37306</v>
      </c>
      <c r="J270" s="9">
        <v>77404</v>
      </c>
      <c r="K270" s="9">
        <v>40098</v>
      </c>
      <c r="L270" s="9">
        <v>37306</v>
      </c>
      <c r="M270" s="14">
        <f t="shared" si="15"/>
        <v>1</v>
      </c>
      <c r="N270" s="14">
        <f t="shared" si="16"/>
        <v>1</v>
      </c>
      <c r="O270" s="14">
        <f t="shared" si="17"/>
        <v>1</v>
      </c>
      <c r="P270" s="9">
        <v>1807</v>
      </c>
      <c r="Q270" s="9">
        <v>957</v>
      </c>
      <c r="R270" s="9">
        <v>850</v>
      </c>
    </row>
    <row r="271" spans="1:18" ht="17.45" customHeight="1" x14ac:dyDescent="0.25">
      <c r="A271" s="8">
        <v>1985</v>
      </c>
      <c r="B271" s="8" t="s">
        <v>69</v>
      </c>
      <c r="C271" s="9">
        <v>278129</v>
      </c>
      <c r="D271" s="9">
        <v>136300</v>
      </c>
      <c r="E271" s="9">
        <v>141829</v>
      </c>
      <c r="F271" s="9">
        <v>5000</v>
      </c>
      <c r="G271" s="9">
        <v>99979</v>
      </c>
      <c r="H271" s="9">
        <v>50939</v>
      </c>
      <c r="I271" s="9">
        <v>49040</v>
      </c>
      <c r="J271" s="9">
        <v>94871</v>
      </c>
      <c r="K271" s="9">
        <v>48497</v>
      </c>
      <c r="L271" s="9">
        <v>46374</v>
      </c>
      <c r="M271" s="14">
        <f t="shared" si="15"/>
        <v>1.0538415321858101</v>
      </c>
      <c r="N271" s="14">
        <f t="shared" si="16"/>
        <v>1.0503536301214509</v>
      </c>
      <c r="O271" s="14">
        <f t="shared" si="17"/>
        <v>1.0574891102773105</v>
      </c>
      <c r="P271" s="9">
        <v>1852</v>
      </c>
      <c r="Q271" s="9">
        <v>955</v>
      </c>
      <c r="R271" s="9">
        <v>897</v>
      </c>
    </row>
    <row r="272" spans="1:18" ht="17.45" customHeight="1" x14ac:dyDescent="0.25">
      <c r="A272" s="8">
        <v>1990</v>
      </c>
      <c r="B272" s="8" t="s">
        <v>69</v>
      </c>
      <c r="C272" s="9">
        <v>289509</v>
      </c>
      <c r="D272" s="9">
        <v>143812</v>
      </c>
      <c r="E272" s="9">
        <v>145697</v>
      </c>
      <c r="F272" s="9">
        <v>5000</v>
      </c>
      <c r="G272" s="9">
        <v>112955</v>
      </c>
      <c r="H272" s="9">
        <v>58720</v>
      </c>
      <c r="I272" s="9">
        <v>54235</v>
      </c>
      <c r="J272" s="9">
        <v>112955</v>
      </c>
      <c r="K272" s="9">
        <v>58720</v>
      </c>
      <c r="L272" s="9">
        <v>54235</v>
      </c>
      <c r="M272" s="14">
        <f t="shared" si="15"/>
        <v>1</v>
      </c>
      <c r="N272" s="14">
        <f t="shared" si="16"/>
        <v>1</v>
      </c>
      <c r="O272" s="14">
        <f t="shared" si="17"/>
        <v>1</v>
      </c>
      <c r="P272" s="9">
        <v>2015</v>
      </c>
      <c r="Q272" s="9">
        <v>1007</v>
      </c>
      <c r="R272" s="9">
        <v>1008</v>
      </c>
    </row>
    <row r="273" spans="1:18" ht="17.45" customHeight="1" x14ac:dyDescent="0.25">
      <c r="A273" s="8">
        <v>2000</v>
      </c>
      <c r="B273" s="8" t="s">
        <v>69</v>
      </c>
      <c r="C273" s="9">
        <v>309914</v>
      </c>
      <c r="D273" s="9">
        <v>153088</v>
      </c>
      <c r="E273" s="9">
        <v>156826</v>
      </c>
      <c r="F273" s="9">
        <v>5000</v>
      </c>
      <c r="G273" s="9">
        <v>147950</v>
      </c>
      <c r="H273" s="9">
        <v>73688</v>
      </c>
      <c r="I273" s="9">
        <v>74262</v>
      </c>
      <c r="J273" s="9">
        <v>136523</v>
      </c>
      <c r="K273" s="9">
        <v>67905</v>
      </c>
      <c r="L273" s="9">
        <v>68618</v>
      </c>
      <c r="M273" s="14">
        <f t="shared" si="15"/>
        <v>1.0837001823868506</v>
      </c>
      <c r="N273" s="14">
        <f t="shared" si="16"/>
        <v>1.0851630955010676</v>
      </c>
      <c r="O273" s="14">
        <f t="shared" si="17"/>
        <v>1.0822524701973244</v>
      </c>
      <c r="P273" s="9">
        <v>2638</v>
      </c>
      <c r="Q273" s="9">
        <v>1323</v>
      </c>
      <c r="R273" s="9">
        <v>1315</v>
      </c>
    </row>
    <row r="274" spans="1:18" ht="17.45" customHeight="1" x14ac:dyDescent="0.25">
      <c r="A274" s="2">
        <v>1975</v>
      </c>
      <c r="B274" s="2" t="s">
        <v>70</v>
      </c>
      <c r="C274" s="3">
        <v>463121</v>
      </c>
      <c r="D274" s="3">
        <v>230905</v>
      </c>
      <c r="E274" s="3">
        <v>232216</v>
      </c>
      <c r="F274" s="3">
        <v>10000</v>
      </c>
      <c r="G274" s="3">
        <v>104023</v>
      </c>
      <c r="H274" s="3">
        <v>53144</v>
      </c>
      <c r="I274" s="3">
        <v>50879</v>
      </c>
      <c r="J274" s="3">
        <v>109094</v>
      </c>
      <c r="K274" s="3">
        <v>56040</v>
      </c>
      <c r="L274" s="3">
        <v>53054</v>
      </c>
      <c r="M274" s="13">
        <f t="shared" si="15"/>
        <v>0.95351715034740681</v>
      </c>
      <c r="N274" s="13">
        <f t="shared" si="16"/>
        <v>0.94832262669521772</v>
      </c>
      <c r="O274" s="13">
        <f t="shared" si="17"/>
        <v>0.95900403362611675</v>
      </c>
      <c r="P274" s="3">
        <v>2638</v>
      </c>
      <c r="Q274" s="3">
        <v>1385</v>
      </c>
      <c r="R274" s="3">
        <v>1253</v>
      </c>
    </row>
    <row r="275" spans="1:18" ht="17.45" customHeight="1" x14ac:dyDescent="0.25">
      <c r="A275" s="2">
        <v>1980</v>
      </c>
      <c r="B275" s="2" t="s">
        <v>70</v>
      </c>
      <c r="C275" s="3">
        <v>512071</v>
      </c>
      <c r="D275" s="3">
        <v>249631</v>
      </c>
      <c r="E275" s="3">
        <v>262440</v>
      </c>
      <c r="F275" s="3">
        <v>10000</v>
      </c>
      <c r="G275" s="3">
        <v>133071</v>
      </c>
      <c r="H275" s="3">
        <v>67331</v>
      </c>
      <c r="I275" s="3">
        <v>65740</v>
      </c>
      <c r="J275" s="3">
        <v>140415</v>
      </c>
      <c r="K275" s="3">
        <v>71403</v>
      </c>
      <c r="L275" s="3">
        <v>69012</v>
      </c>
      <c r="M275" s="13">
        <f t="shared" si="15"/>
        <v>0.94769789552398243</v>
      </c>
      <c r="N275" s="13">
        <f t="shared" si="16"/>
        <v>0.94297158382701007</v>
      </c>
      <c r="O275" s="13">
        <f t="shared" si="17"/>
        <v>0.95258795571784616</v>
      </c>
      <c r="P275" s="3">
        <v>3588</v>
      </c>
      <c r="Q275" s="3">
        <v>1837</v>
      </c>
      <c r="R275" s="3">
        <v>1751</v>
      </c>
    </row>
    <row r="276" spans="1:18" ht="17.45" customHeight="1" x14ac:dyDescent="0.25">
      <c r="A276" s="2">
        <v>1985</v>
      </c>
      <c r="B276" s="2" t="s">
        <v>70</v>
      </c>
      <c r="C276" s="3">
        <v>560386</v>
      </c>
      <c r="D276" s="3">
        <v>272207</v>
      </c>
      <c r="E276" s="3">
        <v>288179</v>
      </c>
      <c r="F276" s="3">
        <v>10000</v>
      </c>
      <c r="G276" s="3">
        <v>177294</v>
      </c>
      <c r="H276" s="3">
        <v>88794</v>
      </c>
      <c r="I276" s="3">
        <v>88500</v>
      </c>
      <c r="J276" s="3">
        <v>172556</v>
      </c>
      <c r="K276" s="3">
        <v>86882</v>
      </c>
      <c r="L276" s="3">
        <v>85674</v>
      </c>
      <c r="M276" s="13">
        <f t="shared" si="15"/>
        <v>1.0274577528454532</v>
      </c>
      <c r="N276" s="13">
        <f t="shared" si="16"/>
        <v>1.0220068598789163</v>
      </c>
      <c r="O276" s="13">
        <f t="shared" si="17"/>
        <v>1.0329855031864976</v>
      </c>
      <c r="P276" s="3">
        <v>3609</v>
      </c>
      <c r="Q276" s="3">
        <v>1813</v>
      </c>
      <c r="R276" s="3">
        <v>1796</v>
      </c>
    </row>
    <row r="277" spans="1:18" ht="17.45" customHeight="1" x14ac:dyDescent="0.25">
      <c r="A277" s="2">
        <v>1990</v>
      </c>
      <c r="B277" s="2" t="s">
        <v>70</v>
      </c>
      <c r="C277" s="3">
        <v>305861</v>
      </c>
      <c r="D277" s="3">
        <v>148163</v>
      </c>
      <c r="E277" s="3">
        <v>157698</v>
      </c>
      <c r="F277" s="3">
        <v>5000</v>
      </c>
      <c r="G277" s="3">
        <v>102818</v>
      </c>
      <c r="H277" s="3">
        <v>51696</v>
      </c>
      <c r="I277" s="3">
        <v>51122</v>
      </c>
      <c r="J277" s="3">
        <v>97286</v>
      </c>
      <c r="K277" s="3">
        <v>49040</v>
      </c>
      <c r="L277" s="3">
        <v>48246</v>
      </c>
      <c r="M277" s="13">
        <f t="shared" si="15"/>
        <v>1.0568632691240261</v>
      </c>
      <c r="N277" s="13">
        <f t="shared" si="16"/>
        <v>1.0541598694942904</v>
      </c>
      <c r="O277" s="13">
        <f t="shared" si="17"/>
        <v>1.0596111594743605</v>
      </c>
      <c r="P277" s="3">
        <v>1871</v>
      </c>
      <c r="Q277" s="3">
        <v>975</v>
      </c>
      <c r="R277" s="3">
        <v>896</v>
      </c>
    </row>
    <row r="278" spans="1:18" ht="17.45" customHeight="1" x14ac:dyDescent="0.25">
      <c r="A278" s="2">
        <v>2000</v>
      </c>
      <c r="B278" s="2" t="s">
        <v>70</v>
      </c>
      <c r="C278" s="3">
        <v>348081</v>
      </c>
      <c r="D278" s="3">
        <v>172367</v>
      </c>
      <c r="E278" s="3">
        <v>175714</v>
      </c>
      <c r="F278" s="3">
        <v>10000</v>
      </c>
      <c r="G278" s="3">
        <v>107892</v>
      </c>
      <c r="H278" s="3">
        <v>54149</v>
      </c>
      <c r="I278" s="3">
        <v>53743</v>
      </c>
      <c r="J278" s="3">
        <v>126812</v>
      </c>
      <c r="K278" s="3">
        <v>63744</v>
      </c>
      <c r="L278" s="3">
        <v>63068</v>
      </c>
      <c r="M278" s="13">
        <f t="shared" si="15"/>
        <v>0.85080276314544367</v>
      </c>
      <c r="N278" s="13">
        <f t="shared" si="16"/>
        <v>0.84947602911646591</v>
      </c>
      <c r="O278" s="13">
        <f t="shared" si="17"/>
        <v>0.85214371789179932</v>
      </c>
      <c r="P278" s="3">
        <v>2323</v>
      </c>
      <c r="Q278" s="3">
        <v>1157</v>
      </c>
      <c r="R278" s="3">
        <v>1165</v>
      </c>
    </row>
    <row r="279" spans="1:18" ht="17.45" customHeight="1" x14ac:dyDescent="0.25">
      <c r="A279" s="8">
        <v>1975</v>
      </c>
      <c r="B279" s="8" t="s">
        <v>71</v>
      </c>
      <c r="C279" s="9">
        <v>664290</v>
      </c>
      <c r="D279" s="9">
        <v>332018</v>
      </c>
      <c r="E279" s="9">
        <v>332272</v>
      </c>
      <c r="F279" s="9">
        <v>5000</v>
      </c>
      <c r="G279" s="9">
        <v>158074</v>
      </c>
      <c r="H279" s="9">
        <v>82504</v>
      </c>
      <c r="I279" s="9">
        <v>75570</v>
      </c>
      <c r="J279" s="9">
        <v>148737</v>
      </c>
      <c r="K279" s="9">
        <v>78153</v>
      </c>
      <c r="L279" s="9">
        <v>70584</v>
      </c>
      <c r="M279" s="14">
        <f t="shared" si="15"/>
        <v>1.0627752341381096</v>
      </c>
      <c r="N279" s="14">
        <f t="shared" si="16"/>
        <v>1.0556728468516883</v>
      </c>
      <c r="O279" s="14">
        <f t="shared" si="17"/>
        <v>1.0706392383543013</v>
      </c>
      <c r="P279" s="9">
        <v>4506</v>
      </c>
      <c r="Q279" s="9">
        <v>2448</v>
      </c>
      <c r="R279" s="9">
        <v>2060</v>
      </c>
    </row>
    <row r="280" spans="1:18" ht="17.45" customHeight="1" x14ac:dyDescent="0.25">
      <c r="A280" s="8">
        <v>1980</v>
      </c>
      <c r="B280" s="8" t="s">
        <v>71</v>
      </c>
      <c r="C280" s="9">
        <v>713535</v>
      </c>
      <c r="D280" s="9">
        <v>350431</v>
      </c>
      <c r="E280" s="9">
        <v>363104</v>
      </c>
      <c r="F280" s="9">
        <v>5000</v>
      </c>
      <c r="G280" s="9">
        <v>195939</v>
      </c>
      <c r="H280" s="9">
        <v>99200</v>
      </c>
      <c r="I280" s="9">
        <v>96739</v>
      </c>
      <c r="J280" s="9">
        <v>169820</v>
      </c>
      <c r="K280" s="9">
        <v>87007</v>
      </c>
      <c r="L280" s="9">
        <v>82813</v>
      </c>
      <c r="M280" s="14">
        <f t="shared" si="15"/>
        <v>1.153804027794135</v>
      </c>
      <c r="N280" s="14">
        <f t="shared" si="16"/>
        <v>1.1401381498040388</v>
      </c>
      <c r="O280" s="14">
        <f t="shared" si="17"/>
        <v>1.1681620035501672</v>
      </c>
      <c r="P280" s="9">
        <v>3809</v>
      </c>
      <c r="Q280" s="9">
        <v>1938</v>
      </c>
      <c r="R280" s="9">
        <v>1870</v>
      </c>
    </row>
    <row r="281" spans="1:18" ht="17.45" customHeight="1" x14ac:dyDescent="0.25">
      <c r="A281" s="8">
        <v>1985</v>
      </c>
      <c r="B281" s="8" t="s">
        <v>71</v>
      </c>
      <c r="C281" s="9">
        <v>763857</v>
      </c>
      <c r="D281" s="9">
        <v>367961</v>
      </c>
      <c r="E281" s="9">
        <v>395896</v>
      </c>
      <c r="F281" s="9">
        <v>10000</v>
      </c>
      <c r="G281" s="9">
        <v>199119</v>
      </c>
      <c r="H281" s="9">
        <v>100799</v>
      </c>
      <c r="I281" s="9">
        <v>98320</v>
      </c>
      <c r="J281" s="9">
        <v>220067</v>
      </c>
      <c r="K281" s="9">
        <v>112111</v>
      </c>
      <c r="L281" s="9">
        <v>107956</v>
      </c>
      <c r="M281" s="14">
        <f t="shared" si="15"/>
        <v>0.90481080761768007</v>
      </c>
      <c r="N281" s="14">
        <f t="shared" si="16"/>
        <v>0.89909999910802685</v>
      </c>
      <c r="O281" s="14">
        <f t="shared" si="17"/>
        <v>0.9107414131683278</v>
      </c>
      <c r="P281" s="9">
        <v>4037</v>
      </c>
      <c r="Q281" s="9">
        <v>2087</v>
      </c>
      <c r="R281" s="9">
        <v>1951</v>
      </c>
    </row>
    <row r="282" spans="1:18" ht="17.45" customHeight="1" x14ac:dyDescent="0.25">
      <c r="A282" s="8">
        <v>1990</v>
      </c>
      <c r="B282" s="8" t="s">
        <v>71</v>
      </c>
      <c r="C282" s="9">
        <v>830105</v>
      </c>
      <c r="D282" s="9">
        <v>408709</v>
      </c>
      <c r="E282" s="9">
        <v>421396</v>
      </c>
      <c r="F282" s="9">
        <v>5000</v>
      </c>
      <c r="G282" s="9">
        <v>370641</v>
      </c>
      <c r="H282" s="9">
        <v>191040</v>
      </c>
      <c r="I282" s="9">
        <v>179601</v>
      </c>
      <c r="J282" s="9">
        <v>336820</v>
      </c>
      <c r="K282" s="9">
        <v>174303</v>
      </c>
      <c r="L282" s="9">
        <v>162517</v>
      </c>
      <c r="M282" s="14">
        <f t="shared" si="15"/>
        <v>1.1004126833323438</v>
      </c>
      <c r="N282" s="14">
        <f t="shared" si="16"/>
        <v>1.0960224436756683</v>
      </c>
      <c r="O282" s="14">
        <f t="shared" si="17"/>
        <v>1.1051213103859905</v>
      </c>
      <c r="P282" s="9">
        <v>5985</v>
      </c>
      <c r="Q282" s="9">
        <v>3070</v>
      </c>
      <c r="R282" s="9">
        <v>2915</v>
      </c>
    </row>
    <row r="283" spans="1:18" ht="17.45" customHeight="1" x14ac:dyDescent="0.25">
      <c r="A283" s="8">
        <v>2000</v>
      </c>
      <c r="B283" s="8" t="s">
        <v>71</v>
      </c>
      <c r="C283" s="9">
        <v>887765</v>
      </c>
      <c r="D283" s="9">
        <v>441447</v>
      </c>
      <c r="E283" s="9">
        <v>446318</v>
      </c>
      <c r="F283" s="9">
        <v>10000</v>
      </c>
      <c r="G283" s="9">
        <v>380495</v>
      </c>
      <c r="H283" s="9">
        <v>191805</v>
      </c>
      <c r="I283" s="9">
        <v>188690</v>
      </c>
      <c r="J283" s="9">
        <v>416631</v>
      </c>
      <c r="K283" s="9">
        <v>210412</v>
      </c>
      <c r="L283" s="9">
        <v>206219</v>
      </c>
      <c r="M283" s="14">
        <f t="shared" si="15"/>
        <v>0.91326617558463008</v>
      </c>
      <c r="N283" s="14">
        <f t="shared" si="16"/>
        <v>0.91156873182137899</v>
      </c>
      <c r="O283" s="14">
        <f t="shared" si="17"/>
        <v>0.91499813305272548</v>
      </c>
      <c r="P283" s="9">
        <v>7482</v>
      </c>
      <c r="Q283" s="9">
        <v>3802</v>
      </c>
      <c r="R283" s="9">
        <v>3680</v>
      </c>
    </row>
    <row r="284" spans="1:18" ht="17.45" customHeight="1" x14ac:dyDescent="0.25">
      <c r="A284" s="2">
        <v>2000</v>
      </c>
      <c r="B284" s="2" t="s">
        <v>72</v>
      </c>
      <c r="C284" s="3">
        <v>458782</v>
      </c>
      <c r="D284" s="3">
        <v>231259</v>
      </c>
      <c r="E284" s="3">
        <v>227523</v>
      </c>
      <c r="F284" s="3">
        <v>10000</v>
      </c>
      <c r="G284" s="3">
        <v>309650</v>
      </c>
      <c r="H284" s="3">
        <v>158099</v>
      </c>
      <c r="I284" s="3">
        <v>151551</v>
      </c>
      <c r="J284" s="3">
        <v>311994</v>
      </c>
      <c r="K284" s="3">
        <v>159335</v>
      </c>
      <c r="L284" s="3">
        <v>152659</v>
      </c>
      <c r="M284" s="13">
        <f t="shared" si="15"/>
        <v>0.99248703500708346</v>
      </c>
      <c r="N284" s="13">
        <f t="shared" si="16"/>
        <v>0.99224275896695646</v>
      </c>
      <c r="O284" s="13">
        <f t="shared" si="17"/>
        <v>0.99274199359356474</v>
      </c>
      <c r="P284" s="3">
        <v>6660</v>
      </c>
      <c r="Q284" s="3">
        <v>3458</v>
      </c>
      <c r="R284" s="3">
        <v>3202</v>
      </c>
    </row>
    <row r="285" spans="1:18" ht="17.45" customHeight="1" x14ac:dyDescent="0.25">
      <c r="A285" s="8">
        <v>1975</v>
      </c>
      <c r="B285" s="8" t="s">
        <v>73</v>
      </c>
      <c r="C285" s="9">
        <v>336278</v>
      </c>
      <c r="D285" s="9">
        <v>165016</v>
      </c>
      <c r="E285" s="9">
        <v>171262</v>
      </c>
      <c r="F285" s="9">
        <v>5000</v>
      </c>
      <c r="G285" s="9">
        <v>85048</v>
      </c>
      <c r="H285" s="9">
        <v>44405</v>
      </c>
      <c r="I285" s="9">
        <v>40643</v>
      </c>
      <c r="J285" s="9">
        <v>82708</v>
      </c>
      <c r="K285" s="9">
        <v>43169</v>
      </c>
      <c r="L285" s="9">
        <v>39539</v>
      </c>
      <c r="M285" s="14">
        <f t="shared" si="15"/>
        <v>1.0282923054601731</v>
      </c>
      <c r="N285" s="14">
        <f t="shared" si="16"/>
        <v>1.0286316569760707</v>
      </c>
      <c r="O285" s="14">
        <f t="shared" si="17"/>
        <v>1.0279217987303675</v>
      </c>
      <c r="P285" s="9">
        <v>3513</v>
      </c>
      <c r="Q285" s="9">
        <v>2089</v>
      </c>
      <c r="R285" s="9">
        <v>1423</v>
      </c>
    </row>
    <row r="286" spans="1:18" ht="17.45" customHeight="1" x14ac:dyDescent="0.25">
      <c r="A286" s="8">
        <v>1980</v>
      </c>
      <c r="B286" s="8" t="s">
        <v>73</v>
      </c>
      <c r="C286" s="9">
        <v>361258</v>
      </c>
      <c r="D286" s="9">
        <v>173651</v>
      </c>
      <c r="E286" s="9">
        <v>187607</v>
      </c>
      <c r="F286" s="9">
        <v>5000</v>
      </c>
      <c r="G286" s="9">
        <v>98732</v>
      </c>
      <c r="H286" s="9">
        <v>50998</v>
      </c>
      <c r="I286" s="9">
        <v>47734</v>
      </c>
      <c r="J286" s="9">
        <v>96152</v>
      </c>
      <c r="K286" s="9">
        <v>49662</v>
      </c>
      <c r="L286" s="9">
        <v>46490</v>
      </c>
      <c r="M286" s="14">
        <f t="shared" si="15"/>
        <v>1.0268325151842916</v>
      </c>
      <c r="N286" s="14">
        <f t="shared" si="16"/>
        <v>1.0269018565502799</v>
      </c>
      <c r="O286" s="14">
        <f t="shared" si="17"/>
        <v>1.0267584426758443</v>
      </c>
      <c r="P286" s="9">
        <v>2130</v>
      </c>
      <c r="Q286" s="9">
        <v>1093</v>
      </c>
      <c r="R286" s="9">
        <v>1037</v>
      </c>
    </row>
    <row r="287" spans="1:18" ht="17.45" customHeight="1" x14ac:dyDescent="0.25">
      <c r="A287" s="8">
        <v>1985</v>
      </c>
      <c r="B287" s="8" t="s">
        <v>73</v>
      </c>
      <c r="C287" s="9">
        <v>374206</v>
      </c>
      <c r="D287" s="9">
        <v>181001</v>
      </c>
      <c r="E287" s="9">
        <v>193205</v>
      </c>
      <c r="F287" s="9">
        <v>5000</v>
      </c>
      <c r="G287" s="9">
        <v>118679</v>
      </c>
      <c r="H287" s="9">
        <v>62487</v>
      </c>
      <c r="I287" s="9">
        <v>56192</v>
      </c>
      <c r="J287" s="9">
        <v>111368</v>
      </c>
      <c r="K287" s="9">
        <v>58987</v>
      </c>
      <c r="L287" s="9">
        <v>52381</v>
      </c>
      <c r="M287" s="14">
        <f t="shared" si="15"/>
        <v>1.0656472236189929</v>
      </c>
      <c r="N287" s="14">
        <f t="shared" si="16"/>
        <v>1.0593351077356028</v>
      </c>
      <c r="O287" s="14">
        <f t="shared" si="17"/>
        <v>1.0727553884041923</v>
      </c>
      <c r="P287" s="9">
        <v>2063</v>
      </c>
      <c r="Q287" s="9">
        <v>1083</v>
      </c>
      <c r="R287" s="9">
        <v>980</v>
      </c>
    </row>
    <row r="288" spans="1:18" ht="17.45" customHeight="1" x14ac:dyDescent="0.25">
      <c r="A288" s="8">
        <v>1990</v>
      </c>
      <c r="B288" s="8" t="s">
        <v>73</v>
      </c>
      <c r="C288" s="9">
        <v>348776</v>
      </c>
      <c r="D288" s="9">
        <v>166481</v>
      </c>
      <c r="E288" s="9">
        <v>182295</v>
      </c>
      <c r="F288" s="9">
        <v>5000</v>
      </c>
      <c r="G288" s="9">
        <v>116462</v>
      </c>
      <c r="H288" s="9">
        <v>58953</v>
      </c>
      <c r="I288" s="9">
        <v>57509</v>
      </c>
      <c r="J288" s="9">
        <v>133370</v>
      </c>
      <c r="K288" s="9">
        <v>67638</v>
      </c>
      <c r="L288" s="9">
        <v>65732</v>
      </c>
      <c r="M288" s="14">
        <f t="shared" si="15"/>
        <v>0.87322486316263026</v>
      </c>
      <c r="N288" s="14">
        <f t="shared" si="16"/>
        <v>0.87159584848753657</v>
      </c>
      <c r="O288" s="14">
        <f t="shared" si="17"/>
        <v>0.87490111361285217</v>
      </c>
      <c r="P288" s="9">
        <v>2172</v>
      </c>
      <c r="Q288" s="9">
        <v>1101</v>
      </c>
      <c r="R288" s="9">
        <v>1071</v>
      </c>
    </row>
    <row r="289" spans="1:18" ht="17.45" customHeight="1" x14ac:dyDescent="0.25">
      <c r="A289" s="8">
        <v>2000</v>
      </c>
      <c r="B289" s="8" t="s">
        <v>73</v>
      </c>
      <c r="C289" s="9">
        <v>365938</v>
      </c>
      <c r="D289" s="9">
        <v>181200</v>
      </c>
      <c r="E289" s="9">
        <v>184738</v>
      </c>
      <c r="F289" s="9">
        <v>5000</v>
      </c>
      <c r="G289" s="9">
        <v>203408</v>
      </c>
      <c r="H289" s="9">
        <v>103183</v>
      </c>
      <c r="I289" s="9">
        <v>100225</v>
      </c>
      <c r="J289" s="9">
        <v>205245</v>
      </c>
      <c r="K289" s="9">
        <v>104221</v>
      </c>
      <c r="L289" s="9">
        <v>101024</v>
      </c>
      <c r="M289" s="14">
        <f t="shared" si="15"/>
        <v>0.99104972106506861</v>
      </c>
      <c r="N289" s="14">
        <f t="shared" si="16"/>
        <v>0.99004039493000451</v>
      </c>
      <c r="O289" s="14">
        <f t="shared" si="17"/>
        <v>0.99209098828001263</v>
      </c>
      <c r="P289" s="9">
        <v>3150</v>
      </c>
      <c r="Q289" s="9">
        <v>1595</v>
      </c>
      <c r="R289" s="9">
        <v>1555</v>
      </c>
    </row>
    <row r="290" spans="1:18" ht="17.45" customHeight="1" x14ac:dyDescent="0.25">
      <c r="A290" s="2">
        <v>1975</v>
      </c>
      <c r="B290" s="2" t="s">
        <v>74</v>
      </c>
      <c r="C290" s="3">
        <v>495649</v>
      </c>
      <c r="D290" s="3">
        <v>253371</v>
      </c>
      <c r="E290" s="3">
        <v>242278</v>
      </c>
      <c r="F290" s="3">
        <v>10000</v>
      </c>
      <c r="G290" s="3">
        <v>176260</v>
      </c>
      <c r="H290" s="3">
        <v>92642</v>
      </c>
      <c r="I290" s="3">
        <v>83618</v>
      </c>
      <c r="J290" s="3">
        <v>172210</v>
      </c>
      <c r="K290" s="3">
        <v>90970</v>
      </c>
      <c r="L290" s="3">
        <v>81240</v>
      </c>
      <c r="M290" s="13">
        <f t="shared" si="15"/>
        <v>1.02351779803728</v>
      </c>
      <c r="N290" s="13">
        <f t="shared" si="16"/>
        <v>1.0183796856106409</v>
      </c>
      <c r="O290" s="13">
        <f t="shared" si="17"/>
        <v>1.0292712949286067</v>
      </c>
      <c r="P290" s="3">
        <v>4982</v>
      </c>
      <c r="Q290" s="3">
        <v>2707</v>
      </c>
      <c r="R290" s="3">
        <v>2275</v>
      </c>
    </row>
    <row r="291" spans="1:18" ht="17.45" customHeight="1" x14ac:dyDescent="0.25">
      <c r="A291" s="2">
        <v>1980</v>
      </c>
      <c r="B291" s="2" t="s">
        <v>74</v>
      </c>
      <c r="C291" s="3">
        <v>548747</v>
      </c>
      <c r="D291" s="3">
        <v>276046</v>
      </c>
      <c r="E291" s="3">
        <v>272701</v>
      </c>
      <c r="F291" s="3">
        <v>10000</v>
      </c>
      <c r="G291" s="3">
        <v>216347</v>
      </c>
      <c r="H291" s="3">
        <v>111463</v>
      </c>
      <c r="I291" s="3">
        <v>104884</v>
      </c>
      <c r="J291" s="3">
        <v>195069</v>
      </c>
      <c r="K291" s="3">
        <v>100624</v>
      </c>
      <c r="L291" s="3">
        <v>94445</v>
      </c>
      <c r="M291" s="13">
        <f t="shared" si="15"/>
        <v>1.1090793514089887</v>
      </c>
      <c r="N291" s="13">
        <f t="shared" si="16"/>
        <v>1.107717840674193</v>
      </c>
      <c r="O291" s="13">
        <f t="shared" si="17"/>
        <v>1.110529938059188</v>
      </c>
      <c r="P291" s="3">
        <v>4837</v>
      </c>
      <c r="Q291" s="3">
        <v>2474</v>
      </c>
      <c r="R291" s="3">
        <v>2364</v>
      </c>
    </row>
    <row r="292" spans="1:18" ht="17.45" customHeight="1" x14ac:dyDescent="0.25">
      <c r="A292" s="2">
        <v>1985</v>
      </c>
      <c r="B292" s="2" t="s">
        <v>74</v>
      </c>
      <c r="C292" s="3">
        <v>610500</v>
      </c>
      <c r="D292" s="3">
        <v>307106</v>
      </c>
      <c r="E292" s="3">
        <v>303394</v>
      </c>
      <c r="F292" s="3">
        <v>20000</v>
      </c>
      <c r="G292" s="3">
        <v>197567</v>
      </c>
      <c r="H292" s="3">
        <v>100961</v>
      </c>
      <c r="I292" s="3">
        <v>96606</v>
      </c>
      <c r="J292" s="3">
        <v>227625</v>
      </c>
      <c r="K292" s="3">
        <v>116215</v>
      </c>
      <c r="L292" s="3">
        <v>111410</v>
      </c>
      <c r="M292" s="13">
        <f t="shared" si="15"/>
        <v>0.86794947830862168</v>
      </c>
      <c r="N292" s="13">
        <f t="shared" si="16"/>
        <v>0.86874327754592784</v>
      </c>
      <c r="O292" s="13">
        <f t="shared" si="17"/>
        <v>0.86712144331747598</v>
      </c>
      <c r="P292" s="3">
        <v>4232</v>
      </c>
      <c r="Q292" s="3">
        <v>2158</v>
      </c>
      <c r="R292" s="3">
        <v>2074</v>
      </c>
    </row>
    <row r="293" spans="1:18" ht="17.45" customHeight="1" x14ac:dyDescent="0.25">
      <c r="A293" s="2">
        <v>1990</v>
      </c>
      <c r="B293" s="2" t="s">
        <v>74</v>
      </c>
      <c r="C293" s="3">
        <v>683061</v>
      </c>
      <c r="D293" s="3">
        <v>345201</v>
      </c>
      <c r="E293" s="3">
        <v>337860</v>
      </c>
      <c r="F293" s="3">
        <v>20000</v>
      </c>
      <c r="G293" s="3">
        <v>253603</v>
      </c>
      <c r="H293" s="3">
        <v>129450</v>
      </c>
      <c r="I293" s="3">
        <v>124153</v>
      </c>
      <c r="J293" s="3">
        <v>297759</v>
      </c>
      <c r="K293" s="3">
        <v>151949</v>
      </c>
      <c r="L293" s="3">
        <v>145810</v>
      </c>
      <c r="M293" s="13">
        <f t="shared" si="15"/>
        <v>0.85170557397089597</v>
      </c>
      <c r="N293" s="13">
        <f t="shared" si="16"/>
        <v>0.85193058197158256</v>
      </c>
      <c r="O293" s="13">
        <f t="shared" si="17"/>
        <v>0.85147109251765996</v>
      </c>
      <c r="P293" s="3">
        <v>5562</v>
      </c>
      <c r="Q293" s="3">
        <v>2881</v>
      </c>
      <c r="R293" s="3">
        <v>2681</v>
      </c>
    </row>
    <row r="294" spans="1:18" ht="17.45" customHeight="1" x14ac:dyDescent="0.25">
      <c r="A294" s="2">
        <v>2000</v>
      </c>
      <c r="B294" s="2" t="s">
        <v>74</v>
      </c>
      <c r="C294" s="3">
        <v>756168</v>
      </c>
      <c r="D294" s="3">
        <v>384140</v>
      </c>
      <c r="E294" s="3">
        <v>372028</v>
      </c>
      <c r="F294" s="3">
        <v>5000</v>
      </c>
      <c r="G294" s="3">
        <v>469826</v>
      </c>
      <c r="H294" s="3">
        <v>241174</v>
      </c>
      <c r="I294" s="3">
        <v>228652</v>
      </c>
      <c r="J294" s="3">
        <v>459824</v>
      </c>
      <c r="K294" s="3">
        <v>236442</v>
      </c>
      <c r="L294" s="3">
        <v>223382</v>
      </c>
      <c r="M294" s="13">
        <f t="shared" si="15"/>
        <v>1.0217518006889592</v>
      </c>
      <c r="N294" s="13">
        <f t="shared" si="16"/>
        <v>1.020013364799824</v>
      </c>
      <c r="O294" s="13">
        <f t="shared" si="17"/>
        <v>1.0235918740095442</v>
      </c>
      <c r="P294" s="3">
        <v>7382</v>
      </c>
      <c r="Q294" s="3">
        <v>3775</v>
      </c>
      <c r="R294" s="3">
        <v>3607</v>
      </c>
    </row>
    <row r="295" spans="1:18" ht="17.45" customHeight="1" x14ac:dyDescent="0.25">
      <c r="A295" s="8">
        <v>1970</v>
      </c>
      <c r="B295" s="8" t="s">
        <v>87</v>
      </c>
      <c r="C295" s="9">
        <v>821183</v>
      </c>
      <c r="D295" s="9">
        <v>404163</v>
      </c>
      <c r="E295" s="9">
        <v>417020</v>
      </c>
      <c r="F295" s="9">
        <v>10000</v>
      </c>
      <c r="G295" s="9">
        <v>217525</v>
      </c>
      <c r="H295" s="9">
        <v>110044</v>
      </c>
      <c r="I295" s="9">
        <v>107481</v>
      </c>
      <c r="J295" s="9">
        <v>235716</v>
      </c>
      <c r="K295" s="9">
        <v>119468</v>
      </c>
      <c r="L295" s="9">
        <v>116248</v>
      </c>
      <c r="M295" s="14">
        <f t="shared" si="15"/>
        <v>0.92282662186699249</v>
      </c>
      <c r="N295" s="14">
        <f t="shared" si="16"/>
        <v>0.92111695181973419</v>
      </c>
      <c r="O295" s="14">
        <f t="shared" si="17"/>
        <v>0.92458364875094623</v>
      </c>
      <c r="P295" s="9">
        <v>5952</v>
      </c>
      <c r="Q295" s="9">
        <v>2953</v>
      </c>
      <c r="R295" s="9">
        <v>2999</v>
      </c>
    </row>
    <row r="296" spans="1:18" ht="17.45" customHeight="1" x14ac:dyDescent="0.25">
      <c r="A296" s="8">
        <v>1975</v>
      </c>
      <c r="B296" s="8" t="s">
        <v>87</v>
      </c>
      <c r="C296" s="9">
        <v>906381</v>
      </c>
      <c r="D296" s="9">
        <v>454837</v>
      </c>
      <c r="E296" s="9">
        <v>451544</v>
      </c>
      <c r="F296" s="9">
        <v>5000</v>
      </c>
      <c r="G296" s="9">
        <v>294198</v>
      </c>
      <c r="H296" s="9">
        <v>151936</v>
      </c>
      <c r="I296" s="9">
        <v>142262</v>
      </c>
      <c r="J296" s="9">
        <v>290207</v>
      </c>
      <c r="K296" s="9">
        <v>149814</v>
      </c>
      <c r="L296" s="9">
        <v>140393</v>
      </c>
      <c r="M296" s="14">
        <f t="shared" si="15"/>
        <v>1.0137522527023815</v>
      </c>
      <c r="N296" s="14">
        <f t="shared" si="16"/>
        <v>1.0141642303122538</v>
      </c>
      <c r="O296" s="14">
        <f t="shared" si="17"/>
        <v>1.0133126295470571</v>
      </c>
      <c r="P296" s="9">
        <v>8074</v>
      </c>
      <c r="Q296" s="9">
        <v>4222</v>
      </c>
      <c r="R296" s="9">
        <v>3852</v>
      </c>
    </row>
    <row r="297" spans="1:18" ht="17.45" customHeight="1" x14ac:dyDescent="0.25">
      <c r="A297" s="8">
        <v>1980</v>
      </c>
      <c r="B297" s="8" t="s">
        <v>87</v>
      </c>
      <c r="C297" s="9">
        <v>1008113</v>
      </c>
      <c r="D297" s="9">
        <v>495498</v>
      </c>
      <c r="E297" s="9">
        <v>512615</v>
      </c>
      <c r="F297" s="9">
        <v>5000</v>
      </c>
      <c r="G297" s="9">
        <v>353650</v>
      </c>
      <c r="H297" s="9">
        <v>177938</v>
      </c>
      <c r="I297" s="9">
        <v>175712</v>
      </c>
      <c r="J297" s="9">
        <v>345200</v>
      </c>
      <c r="K297" s="9">
        <v>173721</v>
      </c>
      <c r="L297" s="9">
        <v>171479</v>
      </c>
      <c r="M297" s="14">
        <f t="shared" si="15"/>
        <v>1.0244785631517961</v>
      </c>
      <c r="N297" s="14">
        <f t="shared" si="16"/>
        <v>1.0242745551775547</v>
      </c>
      <c r="O297" s="14">
        <f t="shared" si="17"/>
        <v>1.0246852384256964</v>
      </c>
      <c r="P297" s="9">
        <v>9428</v>
      </c>
      <c r="Q297" s="9">
        <v>4623</v>
      </c>
      <c r="R297" s="9">
        <v>4805</v>
      </c>
    </row>
    <row r="298" spans="1:18" ht="17.45" customHeight="1" x14ac:dyDescent="0.25">
      <c r="A298" s="8">
        <v>1985</v>
      </c>
      <c r="B298" s="8" t="s">
        <v>87</v>
      </c>
      <c r="C298" s="9">
        <v>1108710</v>
      </c>
      <c r="D298" s="9">
        <v>541783</v>
      </c>
      <c r="E298" s="9">
        <v>566927</v>
      </c>
      <c r="F298" s="9">
        <v>10000</v>
      </c>
      <c r="G298" s="9">
        <v>405474</v>
      </c>
      <c r="H298" s="9">
        <v>204387</v>
      </c>
      <c r="I298" s="9">
        <v>201087</v>
      </c>
      <c r="J298" s="9">
        <v>408622</v>
      </c>
      <c r="K298" s="9">
        <v>206280</v>
      </c>
      <c r="L298" s="9">
        <v>202342</v>
      </c>
      <c r="M298" s="14">
        <f t="shared" si="15"/>
        <v>0.99229605845989688</v>
      </c>
      <c r="N298" s="14">
        <f t="shared" si="16"/>
        <v>0.99082315299592782</v>
      </c>
      <c r="O298" s="14">
        <f t="shared" si="17"/>
        <v>0.99379762975556241</v>
      </c>
      <c r="P298" s="9">
        <v>8672</v>
      </c>
      <c r="Q298" s="9">
        <v>4447</v>
      </c>
      <c r="R298" s="9">
        <v>4225</v>
      </c>
    </row>
    <row r="299" spans="1:18" ht="17.45" customHeight="1" x14ac:dyDescent="0.25">
      <c r="A299" s="8">
        <v>1990</v>
      </c>
      <c r="B299" s="8" t="s">
        <v>87</v>
      </c>
      <c r="C299" s="9">
        <v>1158400</v>
      </c>
      <c r="D299" s="9">
        <v>562066</v>
      </c>
      <c r="E299" s="9">
        <v>596334</v>
      </c>
      <c r="F299" s="9">
        <v>5000</v>
      </c>
      <c r="G299" s="9">
        <v>523012</v>
      </c>
      <c r="H299" s="9">
        <v>260163</v>
      </c>
      <c r="I299" s="9">
        <v>262849</v>
      </c>
      <c r="J299" s="9">
        <v>525305</v>
      </c>
      <c r="K299" s="9">
        <v>261242</v>
      </c>
      <c r="L299" s="9">
        <v>264063</v>
      </c>
      <c r="M299" s="14">
        <f t="shared" si="15"/>
        <v>0.99563491685782546</v>
      </c>
      <c r="N299" s="14">
        <f t="shared" si="16"/>
        <v>0.99586972998216217</v>
      </c>
      <c r="O299" s="14">
        <f t="shared" si="17"/>
        <v>0.99540261225540871</v>
      </c>
      <c r="P299" s="9">
        <v>10303</v>
      </c>
      <c r="Q299" s="9">
        <v>5283</v>
      </c>
      <c r="R299" s="9">
        <v>5020</v>
      </c>
    </row>
    <row r="300" spans="1:18" ht="17.45" customHeight="1" x14ac:dyDescent="0.25">
      <c r="A300" s="8">
        <v>2000</v>
      </c>
      <c r="B300" s="8" t="s">
        <v>87</v>
      </c>
      <c r="C300" s="9">
        <v>1209137</v>
      </c>
      <c r="D300" s="9">
        <v>585759</v>
      </c>
      <c r="E300" s="9">
        <v>623378</v>
      </c>
      <c r="F300" s="9">
        <v>5000</v>
      </c>
      <c r="G300" s="9">
        <v>658805</v>
      </c>
      <c r="H300" s="9">
        <v>324853</v>
      </c>
      <c r="I300" s="9">
        <v>333952</v>
      </c>
      <c r="J300" s="9">
        <v>635254</v>
      </c>
      <c r="K300" s="9">
        <v>312388</v>
      </c>
      <c r="L300" s="9">
        <v>322866</v>
      </c>
      <c r="M300" s="14">
        <f t="shared" si="15"/>
        <v>1.037073359632525</v>
      </c>
      <c r="N300" s="14">
        <f t="shared" si="16"/>
        <v>1.0399023009846728</v>
      </c>
      <c r="O300" s="14">
        <f t="shared" si="17"/>
        <v>1.0343362261743263</v>
      </c>
      <c r="P300" s="9">
        <v>10627</v>
      </c>
      <c r="Q300" s="9">
        <v>5383</v>
      </c>
      <c r="R300" s="9">
        <v>5243</v>
      </c>
    </row>
    <row r="301" spans="1:18" ht="17.45" customHeight="1" x14ac:dyDescent="0.25">
      <c r="A301" s="2">
        <v>1975</v>
      </c>
      <c r="B301" s="2" t="s">
        <v>75</v>
      </c>
      <c r="C301" s="3">
        <v>597277</v>
      </c>
      <c r="D301" s="3">
        <v>312415</v>
      </c>
      <c r="E301" s="3">
        <v>284862</v>
      </c>
      <c r="F301" s="3">
        <v>10000</v>
      </c>
      <c r="G301" s="3">
        <v>260838</v>
      </c>
      <c r="H301" s="3">
        <v>139040</v>
      </c>
      <c r="I301" s="3">
        <v>121798</v>
      </c>
      <c r="J301" s="3">
        <v>264119</v>
      </c>
      <c r="K301" s="3">
        <v>139746</v>
      </c>
      <c r="L301" s="3">
        <v>124373</v>
      </c>
      <c r="M301" s="13">
        <f t="shared" si="15"/>
        <v>0.98757756920176132</v>
      </c>
      <c r="N301" s="13">
        <f t="shared" si="16"/>
        <v>0.99494797704406568</v>
      </c>
      <c r="O301" s="13">
        <f t="shared" si="17"/>
        <v>0.97929614948582089</v>
      </c>
      <c r="P301" s="3">
        <v>6327</v>
      </c>
      <c r="Q301" s="3">
        <v>3545</v>
      </c>
      <c r="R301" s="3">
        <v>2779</v>
      </c>
    </row>
    <row r="302" spans="1:18" ht="17.45" customHeight="1" x14ac:dyDescent="0.25">
      <c r="A302" s="2">
        <v>1980</v>
      </c>
      <c r="B302" s="2" t="s">
        <v>75</v>
      </c>
      <c r="C302" s="3">
        <v>602736</v>
      </c>
      <c r="D302" s="3">
        <v>311717</v>
      </c>
      <c r="E302" s="3">
        <v>291019</v>
      </c>
      <c r="F302" s="3">
        <v>10000</v>
      </c>
      <c r="G302" s="3">
        <v>289608</v>
      </c>
      <c r="H302" s="3">
        <v>153789</v>
      </c>
      <c r="I302" s="3">
        <v>135819</v>
      </c>
      <c r="J302" s="3">
        <v>282419</v>
      </c>
      <c r="K302" s="3">
        <v>149372</v>
      </c>
      <c r="L302" s="3">
        <v>133047</v>
      </c>
      <c r="M302" s="13">
        <f t="shared" si="15"/>
        <v>1.0254550862371157</v>
      </c>
      <c r="N302" s="13">
        <f t="shared" si="16"/>
        <v>1.0295704683608708</v>
      </c>
      <c r="O302" s="13">
        <f t="shared" si="17"/>
        <v>1.0208347426097544</v>
      </c>
      <c r="P302" s="3">
        <v>5564</v>
      </c>
      <c r="Q302" s="3">
        <v>2882</v>
      </c>
      <c r="R302" s="3">
        <v>2683</v>
      </c>
    </row>
    <row r="303" spans="1:18" ht="17.45" customHeight="1" x14ac:dyDescent="0.25">
      <c r="A303" s="2">
        <v>1985</v>
      </c>
      <c r="B303" s="2" t="s">
        <v>75</v>
      </c>
      <c r="C303" s="3">
        <v>795034</v>
      </c>
      <c r="D303" s="3">
        <v>410918</v>
      </c>
      <c r="E303" s="3">
        <v>384116</v>
      </c>
      <c r="F303" s="3">
        <v>10000</v>
      </c>
      <c r="G303" s="3">
        <v>394588</v>
      </c>
      <c r="H303" s="3">
        <v>208364</v>
      </c>
      <c r="I303" s="3">
        <v>186224</v>
      </c>
      <c r="J303" s="3">
        <v>401450</v>
      </c>
      <c r="K303" s="3">
        <v>212636</v>
      </c>
      <c r="L303" s="3">
        <v>188814</v>
      </c>
      <c r="M303" s="13">
        <f t="shared" si="15"/>
        <v>0.98290696226180096</v>
      </c>
      <c r="N303" s="13">
        <f t="shared" si="16"/>
        <v>0.97990932861791979</v>
      </c>
      <c r="O303" s="13">
        <f t="shared" si="17"/>
        <v>0.98628279682650655</v>
      </c>
      <c r="P303" s="3">
        <v>7814</v>
      </c>
      <c r="Q303" s="3">
        <v>4100</v>
      </c>
      <c r="R303" s="3">
        <v>3713</v>
      </c>
    </row>
    <row r="304" spans="1:18" ht="17.45" customHeight="1" x14ac:dyDescent="0.25">
      <c r="A304" s="2">
        <v>1990</v>
      </c>
      <c r="B304" s="2" t="s">
        <v>75</v>
      </c>
      <c r="C304" s="3">
        <v>1001455</v>
      </c>
      <c r="D304" s="3">
        <v>515980</v>
      </c>
      <c r="E304" s="3">
        <v>485475</v>
      </c>
      <c r="F304" s="3">
        <v>5000</v>
      </c>
      <c r="G304" s="3">
        <v>551369</v>
      </c>
      <c r="H304" s="3">
        <v>290048</v>
      </c>
      <c r="I304" s="3">
        <v>261321</v>
      </c>
      <c r="J304" s="3">
        <v>551124</v>
      </c>
      <c r="K304" s="3">
        <v>289900</v>
      </c>
      <c r="L304" s="3">
        <v>261224</v>
      </c>
      <c r="M304" s="13">
        <f t="shared" si="15"/>
        <v>1.0004445460549714</v>
      </c>
      <c r="N304" s="13">
        <f t="shared" si="16"/>
        <v>1.0005105208692653</v>
      </c>
      <c r="O304" s="13">
        <f t="shared" si="17"/>
        <v>1.0003713288212415</v>
      </c>
      <c r="P304" s="3">
        <v>13247</v>
      </c>
      <c r="Q304" s="3">
        <v>6825</v>
      </c>
      <c r="R304" s="3">
        <v>6423</v>
      </c>
    </row>
    <row r="305" spans="1:18" ht="17.45" customHeight="1" x14ac:dyDescent="0.25">
      <c r="A305" s="2">
        <v>2000</v>
      </c>
      <c r="B305" s="2" t="s">
        <v>75</v>
      </c>
      <c r="C305" s="3">
        <v>1443422</v>
      </c>
      <c r="D305" s="3">
        <v>748929</v>
      </c>
      <c r="E305" s="3">
        <v>694493</v>
      </c>
      <c r="F305" s="3">
        <v>10000</v>
      </c>
      <c r="G305" s="3">
        <v>843806</v>
      </c>
      <c r="H305" s="3">
        <v>443781</v>
      </c>
      <c r="I305" s="3">
        <v>400025</v>
      </c>
      <c r="J305" s="3">
        <v>842129</v>
      </c>
      <c r="K305" s="3">
        <v>442783</v>
      </c>
      <c r="L305" s="3">
        <v>399346</v>
      </c>
      <c r="M305" s="13">
        <f t="shared" si="15"/>
        <v>1.0019913813679378</v>
      </c>
      <c r="N305" s="13">
        <f t="shared" si="16"/>
        <v>1.0022539257378897</v>
      </c>
      <c r="O305" s="13">
        <f t="shared" si="17"/>
        <v>1.0017002799577308</v>
      </c>
      <c r="P305" s="3">
        <v>22661</v>
      </c>
      <c r="Q305" s="3">
        <v>11872</v>
      </c>
      <c r="R305" s="3">
        <v>10789</v>
      </c>
    </row>
    <row r="306" spans="1:18" ht="17.45" customHeight="1" x14ac:dyDescent="0.25">
      <c r="A306" s="8">
        <v>1975</v>
      </c>
      <c r="B306" s="8" t="s">
        <v>76</v>
      </c>
      <c r="C306" s="9">
        <v>381503</v>
      </c>
      <c r="D306" s="9">
        <v>201023</v>
      </c>
      <c r="E306" s="9">
        <v>180480</v>
      </c>
      <c r="F306" s="9">
        <v>2000</v>
      </c>
      <c r="G306" s="9">
        <v>159207</v>
      </c>
      <c r="H306" s="9">
        <v>86373</v>
      </c>
      <c r="I306" s="9">
        <v>72834</v>
      </c>
      <c r="J306" s="9">
        <v>148521</v>
      </c>
      <c r="K306" s="9">
        <v>80868</v>
      </c>
      <c r="L306" s="9">
        <v>67653</v>
      </c>
      <c r="M306" s="14">
        <f t="shared" si="15"/>
        <v>1.0719494212939584</v>
      </c>
      <c r="N306" s="14">
        <f t="shared" si="16"/>
        <v>1.0680738982044813</v>
      </c>
      <c r="O306" s="14">
        <f t="shared" si="17"/>
        <v>1.0765819697574386</v>
      </c>
      <c r="P306" s="9">
        <v>4548</v>
      </c>
      <c r="Q306" s="9">
        <v>2476</v>
      </c>
      <c r="R306" s="9">
        <v>2071</v>
      </c>
    </row>
    <row r="307" spans="1:18" ht="17.45" customHeight="1" x14ac:dyDescent="0.25">
      <c r="A307" s="8">
        <v>1980</v>
      </c>
      <c r="B307" s="8" t="s">
        <v>76</v>
      </c>
      <c r="C307" s="9">
        <v>445483</v>
      </c>
      <c r="D307" s="9">
        <v>230253</v>
      </c>
      <c r="E307" s="9">
        <v>215230</v>
      </c>
      <c r="F307" s="9">
        <v>2000</v>
      </c>
      <c r="G307" s="9">
        <v>194255</v>
      </c>
      <c r="H307" s="9">
        <v>102490</v>
      </c>
      <c r="I307" s="9">
        <v>91765</v>
      </c>
      <c r="J307" s="9">
        <v>183804</v>
      </c>
      <c r="K307" s="9">
        <v>97124</v>
      </c>
      <c r="L307" s="9">
        <v>86680</v>
      </c>
      <c r="M307" s="14">
        <f t="shared" si="15"/>
        <v>1.056859480751235</v>
      </c>
      <c r="N307" s="14">
        <f t="shared" si="16"/>
        <v>1.0552489600922532</v>
      </c>
      <c r="O307" s="14">
        <f t="shared" si="17"/>
        <v>1.0586640516843562</v>
      </c>
      <c r="P307" s="9">
        <v>4537</v>
      </c>
      <c r="Q307" s="9">
        <v>2383</v>
      </c>
      <c r="R307" s="9">
        <v>2154</v>
      </c>
    </row>
    <row r="308" spans="1:18" ht="17.45" customHeight="1" x14ac:dyDescent="0.25">
      <c r="A308" s="8">
        <v>1985</v>
      </c>
      <c r="B308" s="8" t="s">
        <v>76</v>
      </c>
      <c r="C308" s="9">
        <v>524741</v>
      </c>
      <c r="D308" s="9">
        <v>267488</v>
      </c>
      <c r="E308" s="9">
        <v>257253</v>
      </c>
      <c r="F308" s="9">
        <v>2000</v>
      </c>
      <c r="G308" s="9">
        <v>253023</v>
      </c>
      <c r="H308" s="9">
        <v>133078</v>
      </c>
      <c r="I308" s="9">
        <v>119945</v>
      </c>
      <c r="J308" s="9">
        <v>237014</v>
      </c>
      <c r="K308" s="9">
        <v>124813</v>
      </c>
      <c r="L308" s="9">
        <v>112201</v>
      </c>
      <c r="M308" s="14">
        <f t="shared" si="15"/>
        <v>1.0675445332343236</v>
      </c>
      <c r="N308" s="14">
        <f t="shared" si="16"/>
        <v>1.0662190637193241</v>
      </c>
      <c r="O308" s="14">
        <f t="shared" si="17"/>
        <v>1.0690189927005997</v>
      </c>
      <c r="P308" s="9">
        <v>5965</v>
      </c>
      <c r="Q308" s="9">
        <v>3066</v>
      </c>
      <c r="R308" s="9">
        <v>2899</v>
      </c>
    </row>
    <row r="309" spans="1:18" ht="17.45" customHeight="1" x14ac:dyDescent="0.25">
      <c r="A309" s="8">
        <v>1990</v>
      </c>
      <c r="B309" s="8" t="s">
        <v>76</v>
      </c>
      <c r="C309" s="9">
        <v>243435</v>
      </c>
      <c r="D309" s="9">
        <v>124605</v>
      </c>
      <c r="E309" s="9">
        <v>118830</v>
      </c>
      <c r="F309" s="9">
        <v>5000</v>
      </c>
      <c r="G309" s="9">
        <v>107350</v>
      </c>
      <c r="H309" s="9">
        <v>56538</v>
      </c>
      <c r="I309" s="9">
        <v>50812</v>
      </c>
      <c r="J309" s="9">
        <v>110139</v>
      </c>
      <c r="K309" s="9">
        <v>57982</v>
      </c>
      <c r="L309" s="9">
        <v>52157</v>
      </c>
      <c r="M309" s="14">
        <f t="shared" si="15"/>
        <v>0.97467745303661735</v>
      </c>
      <c r="N309" s="14">
        <f t="shared" si="16"/>
        <v>0.975095719361181</v>
      </c>
      <c r="O309" s="14">
        <f t="shared" si="17"/>
        <v>0.97421247387694843</v>
      </c>
      <c r="P309" s="9">
        <v>3318</v>
      </c>
      <c r="Q309" s="9">
        <v>1752</v>
      </c>
      <c r="R309" s="9">
        <v>1566</v>
      </c>
    </row>
    <row r="310" spans="1:18" ht="17.45" customHeight="1" x14ac:dyDescent="0.25">
      <c r="A310" s="8">
        <v>2000</v>
      </c>
      <c r="B310" s="8" t="s">
        <v>76</v>
      </c>
      <c r="C310" s="9">
        <v>263676</v>
      </c>
      <c r="D310" s="9">
        <v>137687</v>
      </c>
      <c r="E310" s="9">
        <v>125989</v>
      </c>
      <c r="F310" s="9">
        <v>5000</v>
      </c>
      <c r="G310" s="9">
        <v>163356</v>
      </c>
      <c r="H310" s="9">
        <v>86045</v>
      </c>
      <c r="I310" s="9">
        <v>77311</v>
      </c>
      <c r="J310" s="9">
        <v>153522</v>
      </c>
      <c r="K310" s="9">
        <v>81116</v>
      </c>
      <c r="L310" s="9">
        <v>72406</v>
      </c>
      <c r="M310" s="14">
        <f t="shared" si="15"/>
        <v>1.0640559659201938</v>
      </c>
      <c r="N310" s="14">
        <f t="shared" si="16"/>
        <v>1.0607648306129493</v>
      </c>
      <c r="O310" s="14">
        <f t="shared" si="17"/>
        <v>1.0677430047233654</v>
      </c>
      <c r="P310" s="9">
        <v>4326</v>
      </c>
      <c r="Q310" s="9">
        <v>2251</v>
      </c>
      <c r="R310" s="9">
        <v>2074</v>
      </c>
    </row>
    <row r="311" spans="1:18" ht="17.45" customHeight="1" x14ac:dyDescent="0.25">
      <c r="A311" s="2">
        <v>1975</v>
      </c>
      <c r="B311" s="2" t="s">
        <v>77</v>
      </c>
      <c r="C311" s="3">
        <v>267605</v>
      </c>
      <c r="D311" s="3">
        <v>129447</v>
      </c>
      <c r="E311" s="3">
        <v>138158</v>
      </c>
      <c r="F311" s="3">
        <v>2000</v>
      </c>
      <c r="G311" s="3">
        <v>53839</v>
      </c>
      <c r="H311" s="3">
        <v>28155</v>
      </c>
      <c r="I311" s="3">
        <v>25684</v>
      </c>
      <c r="J311" s="3">
        <v>53839</v>
      </c>
      <c r="K311" s="3">
        <v>28155</v>
      </c>
      <c r="L311" s="3">
        <v>25684</v>
      </c>
      <c r="M311" s="13">
        <f t="shared" si="15"/>
        <v>1</v>
      </c>
      <c r="N311" s="13">
        <f t="shared" si="16"/>
        <v>1</v>
      </c>
      <c r="O311" s="13">
        <f t="shared" si="17"/>
        <v>1</v>
      </c>
      <c r="P311" s="3">
        <v>1166</v>
      </c>
      <c r="Q311" s="3">
        <v>578</v>
      </c>
      <c r="R311" s="3">
        <v>588</v>
      </c>
    </row>
    <row r="312" spans="1:18" ht="17.45" customHeight="1" x14ac:dyDescent="0.25">
      <c r="A312" s="2">
        <v>1980</v>
      </c>
      <c r="B312" s="2" t="s">
        <v>77</v>
      </c>
      <c r="C312" s="3">
        <v>276242</v>
      </c>
      <c r="D312" s="3">
        <v>133392</v>
      </c>
      <c r="E312" s="3">
        <v>142850</v>
      </c>
      <c r="F312" s="3">
        <v>2000</v>
      </c>
      <c r="G312" s="3">
        <v>59529</v>
      </c>
      <c r="H312" s="3">
        <v>30763</v>
      </c>
      <c r="I312" s="3">
        <v>28766</v>
      </c>
      <c r="J312" s="3">
        <v>57443</v>
      </c>
      <c r="K312" s="3">
        <v>29664</v>
      </c>
      <c r="L312" s="3">
        <v>27779</v>
      </c>
      <c r="M312" s="13">
        <f t="shared" si="15"/>
        <v>1.0363142593527497</v>
      </c>
      <c r="N312" s="13">
        <f t="shared" si="16"/>
        <v>1.0370482740021576</v>
      </c>
      <c r="O312" s="13">
        <f t="shared" si="17"/>
        <v>1.0355304366607869</v>
      </c>
      <c r="P312" s="3">
        <v>1251</v>
      </c>
      <c r="Q312" s="3">
        <v>656</v>
      </c>
      <c r="R312" s="3">
        <v>595</v>
      </c>
    </row>
    <row r="313" spans="1:18" ht="17.45" customHeight="1" x14ac:dyDescent="0.25">
      <c r="A313" s="2">
        <v>1985</v>
      </c>
      <c r="B313" s="2" t="s">
        <v>77</v>
      </c>
      <c r="C313" s="3">
        <v>280140</v>
      </c>
      <c r="D313" s="3">
        <v>133203</v>
      </c>
      <c r="E313" s="3">
        <v>146937</v>
      </c>
      <c r="F313" s="3">
        <v>2000</v>
      </c>
      <c r="G313" s="3">
        <v>70543</v>
      </c>
      <c r="H313" s="3">
        <v>35459</v>
      </c>
      <c r="I313" s="3">
        <v>35084</v>
      </c>
      <c r="J313" s="3">
        <v>70543</v>
      </c>
      <c r="K313" s="3">
        <v>35459</v>
      </c>
      <c r="L313" s="3">
        <v>35084</v>
      </c>
      <c r="M313" s="13">
        <f t="shared" si="15"/>
        <v>1</v>
      </c>
      <c r="N313" s="13">
        <f t="shared" si="16"/>
        <v>1</v>
      </c>
      <c r="O313" s="13">
        <f t="shared" si="17"/>
        <v>1</v>
      </c>
      <c r="P313" s="3">
        <v>1409</v>
      </c>
      <c r="Q313" s="3">
        <v>739</v>
      </c>
      <c r="R313" s="3">
        <v>670</v>
      </c>
    </row>
    <row r="314" spans="1:18" ht="17.45" customHeight="1" x14ac:dyDescent="0.25">
      <c r="A314" s="2">
        <v>1990</v>
      </c>
      <c r="B314" s="2" t="s">
        <v>77</v>
      </c>
      <c r="C314" s="3">
        <v>265153</v>
      </c>
      <c r="D314" s="3">
        <v>126205</v>
      </c>
      <c r="E314" s="3">
        <v>138948</v>
      </c>
      <c r="F314" s="3">
        <v>2000</v>
      </c>
      <c r="G314" s="3">
        <v>90016</v>
      </c>
      <c r="H314" s="3">
        <v>45472</v>
      </c>
      <c r="I314" s="3">
        <v>44544</v>
      </c>
      <c r="J314" s="3">
        <v>86314</v>
      </c>
      <c r="K314" s="3">
        <v>43619</v>
      </c>
      <c r="L314" s="3">
        <v>42695</v>
      </c>
      <c r="M314" s="13">
        <f t="shared" si="15"/>
        <v>1.0428899135713789</v>
      </c>
      <c r="N314" s="13">
        <f t="shared" si="16"/>
        <v>1.0424814874252046</v>
      </c>
      <c r="O314" s="13">
        <f t="shared" si="17"/>
        <v>1.0433071788265604</v>
      </c>
      <c r="P314" s="3">
        <v>1590</v>
      </c>
      <c r="Q314" s="3">
        <v>777</v>
      </c>
      <c r="R314" s="3">
        <v>813</v>
      </c>
    </row>
    <row r="315" spans="1:18" ht="17.45" customHeight="1" x14ac:dyDescent="0.25">
      <c r="A315" s="2">
        <v>2000</v>
      </c>
      <c r="B315" s="2" t="s">
        <v>77</v>
      </c>
      <c r="C315" s="3">
        <v>225574</v>
      </c>
      <c r="D315" s="3">
        <v>109666</v>
      </c>
      <c r="E315" s="3">
        <v>115908</v>
      </c>
      <c r="F315" s="3">
        <v>2000</v>
      </c>
      <c r="G315" s="3">
        <v>104312</v>
      </c>
      <c r="H315" s="3">
        <v>52621</v>
      </c>
      <c r="I315" s="3">
        <v>51691</v>
      </c>
      <c r="J315" s="3">
        <v>101285</v>
      </c>
      <c r="K315" s="3">
        <v>51003</v>
      </c>
      <c r="L315" s="3">
        <v>50282</v>
      </c>
      <c r="M315" s="13">
        <f t="shared" si="15"/>
        <v>1.0298859653453127</v>
      </c>
      <c r="N315" s="13">
        <f t="shared" si="16"/>
        <v>1.0317236241005432</v>
      </c>
      <c r="O315" s="13">
        <f t="shared" si="17"/>
        <v>1.0280219561672168</v>
      </c>
      <c r="P315" s="3">
        <v>1476</v>
      </c>
      <c r="Q315" s="3">
        <v>731</v>
      </c>
      <c r="R315" s="3">
        <v>745</v>
      </c>
    </row>
    <row r="316" spans="1:18" ht="17.45" customHeight="1" x14ac:dyDescent="0.25">
      <c r="A316" s="8">
        <v>1990</v>
      </c>
      <c r="B316" s="8" t="s">
        <v>78</v>
      </c>
      <c r="C316" s="9">
        <v>262006</v>
      </c>
      <c r="D316" s="9">
        <v>139534</v>
      </c>
      <c r="E316" s="9">
        <v>122472</v>
      </c>
      <c r="F316" s="9">
        <v>5000</v>
      </c>
      <c r="G316" s="9">
        <v>117706</v>
      </c>
      <c r="H316" s="9">
        <v>63384</v>
      </c>
      <c r="I316" s="9">
        <v>54322</v>
      </c>
      <c r="J316" s="9">
        <v>125264</v>
      </c>
      <c r="K316" s="9">
        <v>67466</v>
      </c>
      <c r="L316" s="9">
        <v>57798</v>
      </c>
      <c r="M316" s="14">
        <f t="shared" si="15"/>
        <v>0.93966343083407844</v>
      </c>
      <c r="N316" s="14">
        <f t="shared" si="16"/>
        <v>0.93949544955977826</v>
      </c>
      <c r="O316" s="14">
        <f t="shared" si="17"/>
        <v>0.93985951070971319</v>
      </c>
      <c r="P316" s="9">
        <v>3577</v>
      </c>
      <c r="Q316" s="9">
        <v>1836</v>
      </c>
      <c r="R316" s="9">
        <v>1741</v>
      </c>
    </row>
    <row r="317" spans="1:18" ht="17.45" customHeight="1" x14ac:dyDescent="0.25">
      <c r="A317" s="8">
        <v>2000</v>
      </c>
      <c r="B317" s="8" t="s">
        <v>78</v>
      </c>
      <c r="C317" s="9">
        <v>353197</v>
      </c>
      <c r="D317" s="9">
        <v>193534</v>
      </c>
      <c r="E317" s="9">
        <v>159663</v>
      </c>
      <c r="F317" s="9">
        <v>5000</v>
      </c>
      <c r="G317" s="9">
        <v>212222</v>
      </c>
      <c r="H317" s="9">
        <v>115682</v>
      </c>
      <c r="I317" s="9">
        <v>96540</v>
      </c>
      <c r="J317" s="9">
        <v>211328</v>
      </c>
      <c r="K317" s="9">
        <v>115615</v>
      </c>
      <c r="L317" s="9">
        <v>95713</v>
      </c>
      <c r="M317" s="14">
        <f t="shared" si="15"/>
        <v>1.0042303906723198</v>
      </c>
      <c r="N317" s="14">
        <f t="shared" si="16"/>
        <v>1.0005795095792069</v>
      </c>
      <c r="O317" s="14">
        <f t="shared" si="17"/>
        <v>1.008640414572733</v>
      </c>
      <c r="P317" s="9">
        <v>6698</v>
      </c>
      <c r="Q317" s="9">
        <v>3436</v>
      </c>
      <c r="R317" s="9">
        <v>3260</v>
      </c>
    </row>
    <row r="318" spans="1:18" ht="17.45" customHeight="1" x14ac:dyDescent="0.25">
      <c r="A318" s="2">
        <v>1970</v>
      </c>
      <c r="B318" s="2" t="s">
        <v>88</v>
      </c>
      <c r="C318" s="3">
        <v>731921</v>
      </c>
      <c r="D318" s="3">
        <v>358440</v>
      </c>
      <c r="E318" s="3">
        <v>373481</v>
      </c>
      <c r="F318" s="3">
        <v>10000</v>
      </c>
      <c r="G318" s="3">
        <v>144368</v>
      </c>
      <c r="H318" s="3">
        <v>77278</v>
      </c>
      <c r="I318" s="3">
        <v>67090</v>
      </c>
      <c r="J318" s="3">
        <v>211374</v>
      </c>
      <c r="K318" s="3">
        <v>113153</v>
      </c>
      <c r="L318" s="3">
        <v>98221</v>
      </c>
      <c r="M318" s="13">
        <f t="shared" si="15"/>
        <v>0.68299790891973466</v>
      </c>
      <c r="N318" s="13">
        <f t="shared" si="16"/>
        <v>0.68295140208390415</v>
      </c>
      <c r="O318" s="13">
        <f t="shared" si="17"/>
        <v>0.68305148593477971</v>
      </c>
      <c r="P318" s="3">
        <v>5962</v>
      </c>
      <c r="Q318" s="3">
        <v>3043</v>
      </c>
      <c r="R318" s="3">
        <v>2919</v>
      </c>
    </row>
    <row r="319" spans="1:18" ht="17.45" customHeight="1" x14ac:dyDescent="0.25">
      <c r="A319" s="2">
        <v>1975</v>
      </c>
      <c r="B319" s="2" t="s">
        <v>88</v>
      </c>
      <c r="C319" s="3">
        <v>741713</v>
      </c>
      <c r="D319" s="3">
        <v>375507</v>
      </c>
      <c r="E319" s="3">
        <v>366206</v>
      </c>
      <c r="F319" s="3">
        <v>5000</v>
      </c>
      <c r="G319" s="3">
        <v>234457</v>
      </c>
      <c r="H319" s="3">
        <v>126712</v>
      </c>
      <c r="I319" s="3">
        <v>107745</v>
      </c>
      <c r="J319" s="3">
        <v>238318</v>
      </c>
      <c r="K319" s="3">
        <v>128803</v>
      </c>
      <c r="L319" s="3">
        <v>109515</v>
      </c>
      <c r="M319" s="13">
        <f t="shared" si="15"/>
        <v>0.98379895769518044</v>
      </c>
      <c r="N319" s="13">
        <f t="shared" si="16"/>
        <v>0.98376590607361625</v>
      </c>
      <c r="O319" s="13">
        <f t="shared" si="17"/>
        <v>0.98383783043418704</v>
      </c>
      <c r="P319" s="3">
        <v>6338</v>
      </c>
      <c r="Q319" s="3">
        <v>3501</v>
      </c>
      <c r="R319" s="3">
        <v>2837</v>
      </c>
    </row>
    <row r="320" spans="1:18" ht="17.45" customHeight="1" x14ac:dyDescent="0.25">
      <c r="A320" s="2">
        <v>1980</v>
      </c>
      <c r="B320" s="2" t="s">
        <v>88</v>
      </c>
      <c r="C320" s="3">
        <v>750144</v>
      </c>
      <c r="D320" s="3">
        <v>372771</v>
      </c>
      <c r="E320" s="3">
        <v>377373</v>
      </c>
      <c r="F320" s="3">
        <v>5000</v>
      </c>
      <c r="G320" s="3">
        <v>274760</v>
      </c>
      <c r="H320" s="3">
        <v>145059</v>
      </c>
      <c r="I320" s="3">
        <v>129701</v>
      </c>
      <c r="J320" s="3">
        <v>273215</v>
      </c>
      <c r="K320" s="3">
        <v>144191</v>
      </c>
      <c r="L320" s="3">
        <v>129024</v>
      </c>
      <c r="M320" s="13">
        <f t="shared" si="15"/>
        <v>1.0056548871767657</v>
      </c>
      <c r="N320" s="13">
        <f t="shared" si="16"/>
        <v>1.0060197931909758</v>
      </c>
      <c r="O320" s="13">
        <f t="shared" si="17"/>
        <v>1.0052470858134921</v>
      </c>
      <c r="P320" s="3">
        <v>6456</v>
      </c>
      <c r="Q320" s="3">
        <v>3301</v>
      </c>
      <c r="R320" s="3">
        <v>3155</v>
      </c>
    </row>
    <row r="321" spans="1:18" ht="17.45" customHeight="1" x14ac:dyDescent="0.25">
      <c r="A321" s="2">
        <v>1985</v>
      </c>
      <c r="B321" s="2" t="s">
        <v>88</v>
      </c>
      <c r="C321" s="3">
        <v>772209</v>
      </c>
      <c r="D321" s="3">
        <v>382806</v>
      </c>
      <c r="E321" s="3">
        <v>389403</v>
      </c>
      <c r="F321" s="3">
        <v>5000</v>
      </c>
      <c r="G321" s="3">
        <v>322093</v>
      </c>
      <c r="H321" s="3">
        <v>169066</v>
      </c>
      <c r="I321" s="3">
        <v>153027</v>
      </c>
      <c r="J321" s="3">
        <v>315336</v>
      </c>
      <c r="K321" s="3">
        <v>165816</v>
      </c>
      <c r="L321" s="3">
        <v>149520</v>
      </c>
      <c r="M321" s="13">
        <f t="shared" si="15"/>
        <v>1.0214279371844635</v>
      </c>
      <c r="N321" s="13">
        <f t="shared" si="16"/>
        <v>1.019600038596999</v>
      </c>
      <c r="O321" s="13">
        <f t="shared" si="17"/>
        <v>1.0234550561797753</v>
      </c>
      <c r="P321" s="3">
        <v>6430</v>
      </c>
      <c r="Q321" s="3">
        <v>3232</v>
      </c>
      <c r="R321" s="3">
        <v>3198</v>
      </c>
    </row>
    <row r="322" spans="1:18" ht="17.45" customHeight="1" x14ac:dyDescent="0.25">
      <c r="A322" s="2">
        <v>1990</v>
      </c>
      <c r="B322" s="2" t="s">
        <v>88</v>
      </c>
      <c r="C322" s="3">
        <v>767481</v>
      </c>
      <c r="D322" s="3">
        <v>383155</v>
      </c>
      <c r="E322" s="3">
        <v>384326</v>
      </c>
      <c r="F322" s="3">
        <v>5000</v>
      </c>
      <c r="G322" s="3">
        <v>388925</v>
      </c>
      <c r="H322" s="3">
        <v>204485</v>
      </c>
      <c r="I322" s="3">
        <v>184440</v>
      </c>
      <c r="J322" s="3">
        <v>381947</v>
      </c>
      <c r="K322" s="3">
        <v>201214</v>
      </c>
      <c r="L322" s="3">
        <v>180733</v>
      </c>
      <c r="M322" s="13">
        <f t="shared" si="15"/>
        <v>1.0182695504873713</v>
      </c>
      <c r="N322" s="13">
        <f t="shared" si="16"/>
        <v>1.0162563241126363</v>
      </c>
      <c r="O322" s="13">
        <f t="shared" si="17"/>
        <v>1.0205109194225737</v>
      </c>
      <c r="P322" s="3">
        <v>6789</v>
      </c>
      <c r="Q322" s="3">
        <v>3476</v>
      </c>
      <c r="R322" s="3">
        <v>3313</v>
      </c>
    </row>
    <row r="323" spans="1:18" ht="17.45" customHeight="1" x14ac:dyDescent="0.25">
      <c r="A323" s="2">
        <v>2000</v>
      </c>
      <c r="B323" s="2" t="s">
        <v>88</v>
      </c>
      <c r="C323" s="3">
        <v>755091</v>
      </c>
      <c r="D323" s="3">
        <v>383254</v>
      </c>
      <c r="E323" s="3">
        <v>371837</v>
      </c>
      <c r="F323" s="3">
        <v>5000</v>
      </c>
      <c r="G323" s="3">
        <v>426366</v>
      </c>
      <c r="H323" s="3">
        <v>220428</v>
      </c>
      <c r="I323" s="3">
        <v>205938</v>
      </c>
      <c r="J323" s="3">
        <v>421804</v>
      </c>
      <c r="K323" s="3">
        <v>218450</v>
      </c>
      <c r="L323" s="3">
        <v>203354</v>
      </c>
      <c r="M323" s="13">
        <f t="shared" si="15"/>
        <v>1.0108154498297788</v>
      </c>
      <c r="N323" s="13">
        <f t="shared" si="16"/>
        <v>1.0090547035934996</v>
      </c>
      <c r="O323" s="13">
        <f t="shared" si="17"/>
        <v>1.0127069051997994</v>
      </c>
      <c r="P323" s="3">
        <v>7441</v>
      </c>
      <c r="Q323" s="3">
        <v>3853</v>
      </c>
      <c r="R323" s="3">
        <v>3587</v>
      </c>
    </row>
    <row r="324" spans="1:18" ht="17.45" customHeight="1" x14ac:dyDescent="0.25">
      <c r="A324" s="8">
        <v>1975</v>
      </c>
      <c r="B324" s="8" t="s">
        <v>79</v>
      </c>
      <c r="C324" s="9">
        <v>319987</v>
      </c>
      <c r="D324" s="9">
        <v>170643</v>
      </c>
      <c r="E324" s="9">
        <v>149344</v>
      </c>
      <c r="F324" s="9">
        <v>5000</v>
      </c>
      <c r="G324" s="9">
        <v>137332</v>
      </c>
      <c r="H324" s="9">
        <v>79098</v>
      </c>
      <c r="I324" s="9">
        <v>58234</v>
      </c>
      <c r="J324" s="9">
        <v>137332</v>
      </c>
      <c r="K324" s="9">
        <v>79098</v>
      </c>
      <c r="L324" s="9">
        <v>58234</v>
      </c>
      <c r="M324" s="14">
        <f t="shared" ref="M324:M364" si="18">G324/J324</f>
        <v>1</v>
      </c>
      <c r="N324" s="14">
        <f t="shared" ref="N324:N364" si="19">H324/K324</f>
        <v>1</v>
      </c>
      <c r="O324" s="14">
        <f t="shared" ref="O324:O364" si="20">I324/L324</f>
        <v>1</v>
      </c>
      <c r="P324" s="9">
        <v>6268</v>
      </c>
      <c r="Q324" s="9">
        <v>2688</v>
      </c>
      <c r="R324" s="9">
        <v>3580</v>
      </c>
    </row>
    <row r="325" spans="1:18" ht="17.45" customHeight="1" x14ac:dyDescent="0.25">
      <c r="A325" s="8">
        <v>1980</v>
      </c>
      <c r="B325" s="8" t="s">
        <v>79</v>
      </c>
      <c r="C325" s="9">
        <v>360742</v>
      </c>
      <c r="D325" s="9">
        <v>193734</v>
      </c>
      <c r="E325" s="9">
        <v>167008</v>
      </c>
      <c r="F325" s="9">
        <v>5000</v>
      </c>
      <c r="G325" s="9">
        <v>167270</v>
      </c>
      <c r="H325" s="9">
        <v>97236</v>
      </c>
      <c r="I325" s="9">
        <v>70034</v>
      </c>
      <c r="J325" s="9">
        <v>167270</v>
      </c>
      <c r="K325" s="9">
        <v>97236</v>
      </c>
      <c r="L325" s="9">
        <v>70034</v>
      </c>
      <c r="M325" s="14">
        <f t="shared" si="18"/>
        <v>1</v>
      </c>
      <c r="N325" s="14">
        <f t="shared" si="19"/>
        <v>1</v>
      </c>
      <c r="O325" s="14">
        <f t="shared" si="20"/>
        <v>1</v>
      </c>
      <c r="P325" s="9">
        <v>3292</v>
      </c>
      <c r="Q325" s="9">
        <v>1749</v>
      </c>
      <c r="R325" s="9">
        <v>1543</v>
      </c>
    </row>
    <row r="326" spans="1:18" ht="17.45" customHeight="1" x14ac:dyDescent="0.25">
      <c r="A326" s="8">
        <v>1985</v>
      </c>
      <c r="B326" s="8" t="s">
        <v>79</v>
      </c>
      <c r="C326" s="9">
        <v>402721</v>
      </c>
      <c r="D326" s="9">
        <v>218786</v>
      </c>
      <c r="E326" s="9">
        <v>183935</v>
      </c>
      <c r="F326" s="9">
        <v>5000</v>
      </c>
      <c r="G326" s="9">
        <v>205678</v>
      </c>
      <c r="H326" s="9">
        <v>118199</v>
      </c>
      <c r="I326" s="9">
        <v>87479</v>
      </c>
      <c r="J326" s="9">
        <v>205678</v>
      </c>
      <c r="K326" s="9">
        <v>118199</v>
      </c>
      <c r="L326" s="9">
        <v>87479</v>
      </c>
      <c r="M326" s="14">
        <f t="shared" si="18"/>
        <v>1</v>
      </c>
      <c r="N326" s="14">
        <f t="shared" si="19"/>
        <v>1</v>
      </c>
      <c r="O326" s="14">
        <f t="shared" si="20"/>
        <v>1</v>
      </c>
      <c r="P326" s="9">
        <v>3171</v>
      </c>
      <c r="Q326" s="9">
        <v>1653</v>
      </c>
      <c r="R326" s="9">
        <v>1518</v>
      </c>
    </row>
    <row r="327" spans="1:18" ht="17.45" customHeight="1" x14ac:dyDescent="0.25">
      <c r="A327" s="8">
        <v>1990</v>
      </c>
      <c r="B327" s="8" t="s">
        <v>79</v>
      </c>
      <c r="C327" s="9">
        <v>468842</v>
      </c>
      <c r="D327" s="9">
        <v>250743</v>
      </c>
      <c r="E327" s="9">
        <v>218099</v>
      </c>
      <c r="F327" s="9">
        <v>10000</v>
      </c>
      <c r="G327" s="9">
        <v>252983</v>
      </c>
      <c r="H327" s="9">
        <v>137597</v>
      </c>
      <c r="I327" s="9">
        <v>115386</v>
      </c>
      <c r="J327" s="9">
        <v>258940</v>
      </c>
      <c r="K327" s="9">
        <v>141092</v>
      </c>
      <c r="L327" s="9">
        <v>117848</v>
      </c>
      <c r="M327" s="14">
        <f t="shared" si="18"/>
        <v>0.97699467058005718</v>
      </c>
      <c r="N327" s="14">
        <f t="shared" si="19"/>
        <v>0.97522892864230426</v>
      </c>
      <c r="O327" s="14">
        <f t="shared" si="20"/>
        <v>0.97910868237051119</v>
      </c>
      <c r="P327" s="9">
        <v>4410</v>
      </c>
      <c r="Q327" s="9">
        <v>2222</v>
      </c>
      <c r="R327" s="9">
        <v>2188</v>
      </c>
    </row>
    <row r="328" spans="1:18" ht="17.45" customHeight="1" x14ac:dyDescent="0.25">
      <c r="A328" s="8">
        <v>2000</v>
      </c>
      <c r="B328" s="8" t="s">
        <v>79</v>
      </c>
      <c r="C328" s="9">
        <v>623591</v>
      </c>
      <c r="D328" s="9">
        <v>326399</v>
      </c>
      <c r="E328" s="9">
        <v>297192</v>
      </c>
      <c r="F328" s="9">
        <v>10000</v>
      </c>
      <c r="G328" s="9">
        <v>405758</v>
      </c>
      <c r="H328" s="9">
        <v>211451</v>
      </c>
      <c r="I328" s="9">
        <v>194307</v>
      </c>
      <c r="J328" s="9">
        <v>395377</v>
      </c>
      <c r="K328" s="9">
        <v>206507</v>
      </c>
      <c r="L328" s="9">
        <v>188870</v>
      </c>
      <c r="M328" s="14">
        <f t="shared" si="18"/>
        <v>1.0262559531788646</v>
      </c>
      <c r="N328" s="14">
        <f t="shared" si="19"/>
        <v>1.0239410770579205</v>
      </c>
      <c r="O328" s="14">
        <f t="shared" si="20"/>
        <v>1.0287869963466936</v>
      </c>
      <c r="P328" s="9">
        <v>5940</v>
      </c>
      <c r="Q328" s="9">
        <v>3026</v>
      </c>
      <c r="R328" s="9">
        <v>2914</v>
      </c>
    </row>
    <row r="329" spans="1:18" ht="17.45" customHeight="1" x14ac:dyDescent="0.25">
      <c r="A329" s="2">
        <v>1975</v>
      </c>
      <c r="B329" s="2" t="s">
        <v>80</v>
      </c>
      <c r="C329" s="3">
        <v>599166</v>
      </c>
      <c r="D329" s="3">
        <v>305071</v>
      </c>
      <c r="E329" s="3">
        <v>294095</v>
      </c>
      <c r="F329" s="3">
        <v>5000</v>
      </c>
      <c r="G329" s="3">
        <v>168408</v>
      </c>
      <c r="H329" s="3">
        <v>89112</v>
      </c>
      <c r="I329" s="3">
        <v>79296</v>
      </c>
      <c r="J329" s="3">
        <v>175446</v>
      </c>
      <c r="K329" s="3">
        <v>93001</v>
      </c>
      <c r="L329" s="3">
        <v>82445</v>
      </c>
      <c r="M329" s="13">
        <f t="shared" si="18"/>
        <v>0.95988509284908174</v>
      </c>
      <c r="N329" s="13">
        <f t="shared" si="19"/>
        <v>0.95818324534144794</v>
      </c>
      <c r="O329" s="13">
        <f t="shared" si="20"/>
        <v>0.96180483959002971</v>
      </c>
      <c r="P329" s="3">
        <v>6019</v>
      </c>
      <c r="Q329" s="3">
        <v>2868</v>
      </c>
      <c r="R329" s="3">
        <v>3150</v>
      </c>
    </row>
    <row r="330" spans="1:18" ht="17.45" customHeight="1" x14ac:dyDescent="0.25">
      <c r="A330" s="2">
        <v>1980</v>
      </c>
      <c r="B330" s="2" t="s">
        <v>80</v>
      </c>
      <c r="C330" s="3">
        <v>624508</v>
      </c>
      <c r="D330" s="3">
        <v>317422</v>
      </c>
      <c r="E330" s="3">
        <v>307086</v>
      </c>
      <c r="F330" s="3">
        <v>5000</v>
      </c>
      <c r="G330" s="3">
        <v>197928</v>
      </c>
      <c r="H330" s="3">
        <v>102882</v>
      </c>
      <c r="I330" s="3">
        <v>95046</v>
      </c>
      <c r="J330" s="3">
        <v>200231</v>
      </c>
      <c r="K330" s="3">
        <v>104202</v>
      </c>
      <c r="L330" s="3">
        <v>96029</v>
      </c>
      <c r="M330" s="13">
        <f t="shared" si="18"/>
        <v>0.98849828448142396</v>
      </c>
      <c r="N330" s="13">
        <f t="shared" si="19"/>
        <v>0.98733229688489665</v>
      </c>
      <c r="O330" s="13">
        <f t="shared" si="20"/>
        <v>0.98976350894000775</v>
      </c>
      <c r="P330" s="3">
        <v>4858</v>
      </c>
      <c r="Q330" s="3">
        <v>2525</v>
      </c>
      <c r="R330" s="3">
        <v>2333</v>
      </c>
    </row>
    <row r="331" spans="1:18" ht="17.45" customHeight="1" x14ac:dyDescent="0.25">
      <c r="A331" s="2">
        <v>1985</v>
      </c>
      <c r="B331" s="2" t="s">
        <v>80</v>
      </c>
      <c r="C331" s="3">
        <v>679071</v>
      </c>
      <c r="D331" s="3">
        <v>333590</v>
      </c>
      <c r="E331" s="3">
        <v>345481</v>
      </c>
      <c r="F331" s="3">
        <v>5000</v>
      </c>
      <c r="G331" s="3">
        <v>243144</v>
      </c>
      <c r="H331" s="3">
        <v>122822</v>
      </c>
      <c r="I331" s="3">
        <v>120322</v>
      </c>
      <c r="J331" s="3">
        <v>246126</v>
      </c>
      <c r="K331" s="3">
        <v>124517</v>
      </c>
      <c r="L331" s="3">
        <v>121609</v>
      </c>
      <c r="M331" s="13">
        <f t="shared" si="18"/>
        <v>0.98788425440627969</v>
      </c>
      <c r="N331" s="13">
        <f t="shared" si="19"/>
        <v>0.98638740091714383</v>
      </c>
      <c r="O331" s="13">
        <f t="shared" si="20"/>
        <v>0.98941690170957741</v>
      </c>
      <c r="P331" s="3">
        <v>5161</v>
      </c>
      <c r="Q331" s="3">
        <v>2637</v>
      </c>
      <c r="R331" s="3">
        <v>2524</v>
      </c>
    </row>
    <row r="332" spans="1:18" ht="17.45" customHeight="1" x14ac:dyDescent="0.25">
      <c r="A332" s="2">
        <v>1990</v>
      </c>
      <c r="B332" s="2" t="s">
        <v>80</v>
      </c>
      <c r="C332" s="3">
        <v>719251</v>
      </c>
      <c r="D332" s="3">
        <v>354316</v>
      </c>
      <c r="E332" s="3">
        <v>364935</v>
      </c>
      <c r="F332" s="3">
        <v>5000</v>
      </c>
      <c r="G332" s="3">
        <v>307610</v>
      </c>
      <c r="H332" s="3">
        <v>155825</v>
      </c>
      <c r="I332" s="3">
        <v>151785</v>
      </c>
      <c r="J332" s="3">
        <v>308304</v>
      </c>
      <c r="K332" s="3">
        <v>155867</v>
      </c>
      <c r="L332" s="3">
        <v>152437</v>
      </c>
      <c r="M332" s="13">
        <f t="shared" si="18"/>
        <v>0.99774897503762516</v>
      </c>
      <c r="N332" s="13">
        <f t="shared" si="19"/>
        <v>0.9997305394984185</v>
      </c>
      <c r="O332" s="13">
        <f t="shared" si="20"/>
        <v>0.99572282319909211</v>
      </c>
      <c r="P332" s="3">
        <v>5812</v>
      </c>
      <c r="Q332" s="3">
        <v>2946</v>
      </c>
      <c r="R332" s="3">
        <v>2866</v>
      </c>
    </row>
    <row r="333" spans="1:18" ht="17.45" customHeight="1" x14ac:dyDescent="0.25">
      <c r="A333" s="2">
        <v>2000</v>
      </c>
      <c r="B333" s="2" t="s">
        <v>80</v>
      </c>
      <c r="C333" s="3">
        <v>828027</v>
      </c>
      <c r="D333" s="3">
        <v>418856</v>
      </c>
      <c r="E333" s="3">
        <v>409171</v>
      </c>
      <c r="F333" s="3">
        <v>5000</v>
      </c>
      <c r="G333" s="3">
        <v>428890</v>
      </c>
      <c r="H333" s="3">
        <v>217991</v>
      </c>
      <c r="I333" s="3">
        <v>210899</v>
      </c>
      <c r="J333" s="3">
        <v>401762</v>
      </c>
      <c r="K333" s="3">
        <v>204246</v>
      </c>
      <c r="L333" s="3">
        <v>197516</v>
      </c>
      <c r="M333" s="13">
        <f t="shared" si="18"/>
        <v>1.0675225631095027</v>
      </c>
      <c r="N333" s="13">
        <f t="shared" si="19"/>
        <v>1.0672962995603341</v>
      </c>
      <c r="O333" s="13">
        <f t="shared" si="20"/>
        <v>1.0677565361793475</v>
      </c>
      <c r="P333" s="3">
        <v>7643</v>
      </c>
      <c r="Q333" s="3">
        <v>3990</v>
      </c>
      <c r="R333" s="3">
        <v>3653</v>
      </c>
    </row>
    <row r="334" spans="1:18" ht="17.45" customHeight="1" x14ac:dyDescent="0.25">
      <c r="A334" s="8">
        <v>1975</v>
      </c>
      <c r="B334" s="8" t="s">
        <v>81</v>
      </c>
      <c r="C334" s="9">
        <v>719008</v>
      </c>
      <c r="D334" s="9">
        <v>354636</v>
      </c>
      <c r="E334" s="9">
        <v>364372</v>
      </c>
      <c r="F334" s="9">
        <v>10000</v>
      </c>
      <c r="G334" s="9">
        <v>154060</v>
      </c>
      <c r="H334" s="9">
        <v>83915</v>
      </c>
      <c r="I334" s="9">
        <v>70145</v>
      </c>
      <c r="J334" s="9">
        <v>171570</v>
      </c>
      <c r="K334" s="9">
        <v>92190</v>
      </c>
      <c r="L334" s="9">
        <v>79380</v>
      </c>
      <c r="M334" s="14">
        <f t="shared" si="18"/>
        <v>0.89794253074546837</v>
      </c>
      <c r="N334" s="14">
        <f t="shared" si="19"/>
        <v>0.9102397223126153</v>
      </c>
      <c r="O334" s="14">
        <f t="shared" si="20"/>
        <v>0.88366087175610986</v>
      </c>
      <c r="P334" s="9">
        <v>4775</v>
      </c>
      <c r="Q334" s="9">
        <v>2369</v>
      </c>
      <c r="R334" s="9">
        <v>2413</v>
      </c>
    </row>
    <row r="335" spans="1:18" ht="17.45" customHeight="1" x14ac:dyDescent="0.25">
      <c r="A335" s="8">
        <v>1980</v>
      </c>
      <c r="B335" s="8" t="s">
        <v>81</v>
      </c>
      <c r="C335" s="9">
        <v>731045</v>
      </c>
      <c r="D335" s="9">
        <v>349503</v>
      </c>
      <c r="E335" s="9">
        <v>381542</v>
      </c>
      <c r="F335" s="9">
        <v>5000</v>
      </c>
      <c r="G335" s="9">
        <v>204188</v>
      </c>
      <c r="H335" s="9">
        <v>105366</v>
      </c>
      <c r="I335" s="9">
        <v>98822</v>
      </c>
      <c r="J335" s="9">
        <v>186580</v>
      </c>
      <c r="K335" s="9">
        <v>97482</v>
      </c>
      <c r="L335" s="9">
        <v>89098</v>
      </c>
      <c r="M335" s="14">
        <f t="shared" si="18"/>
        <v>1.0943723871797619</v>
      </c>
      <c r="N335" s="14">
        <f t="shared" si="19"/>
        <v>1.0808764695020618</v>
      </c>
      <c r="O335" s="14">
        <f t="shared" si="20"/>
        <v>1.1091382522615547</v>
      </c>
      <c r="P335" s="9">
        <v>3893</v>
      </c>
      <c r="Q335" s="9">
        <v>2001</v>
      </c>
      <c r="R335" s="9">
        <v>1891</v>
      </c>
    </row>
    <row r="336" spans="1:18" ht="17.45" customHeight="1" x14ac:dyDescent="0.25">
      <c r="A336" s="8">
        <v>1985</v>
      </c>
      <c r="B336" s="8" t="s">
        <v>81</v>
      </c>
      <c r="C336" s="9">
        <v>786194</v>
      </c>
      <c r="D336" s="9">
        <v>380147</v>
      </c>
      <c r="E336" s="9">
        <v>406047</v>
      </c>
      <c r="F336" s="9">
        <v>10000</v>
      </c>
      <c r="G336" s="9">
        <v>220354</v>
      </c>
      <c r="H336" s="9">
        <v>117740</v>
      </c>
      <c r="I336" s="9">
        <v>102614</v>
      </c>
      <c r="J336" s="9">
        <v>239553</v>
      </c>
      <c r="K336" s="9">
        <v>127915</v>
      </c>
      <c r="L336" s="9">
        <v>111638</v>
      </c>
      <c r="M336" s="14">
        <f t="shared" si="18"/>
        <v>0.91985489641123264</v>
      </c>
      <c r="N336" s="14">
        <f t="shared" si="19"/>
        <v>0.92045498964155881</v>
      </c>
      <c r="O336" s="14">
        <f t="shared" si="20"/>
        <v>0.91916730862251206</v>
      </c>
      <c r="P336" s="9">
        <v>4428</v>
      </c>
      <c r="Q336" s="9">
        <v>2241</v>
      </c>
      <c r="R336" s="9">
        <v>2187</v>
      </c>
    </row>
    <row r="337" spans="1:18" ht="17.45" customHeight="1" x14ac:dyDescent="0.25">
      <c r="A337" s="8">
        <v>1990</v>
      </c>
      <c r="B337" s="8" t="s">
        <v>81</v>
      </c>
      <c r="C337" s="9">
        <v>795849</v>
      </c>
      <c r="D337" s="9">
        <v>386642</v>
      </c>
      <c r="E337" s="9">
        <v>409207</v>
      </c>
      <c r="F337" s="9">
        <v>5000</v>
      </c>
      <c r="G337" s="9">
        <v>318662</v>
      </c>
      <c r="H337" s="9">
        <v>164791</v>
      </c>
      <c r="I337" s="9">
        <v>153871</v>
      </c>
      <c r="J337" s="9">
        <v>303612</v>
      </c>
      <c r="K337" s="9">
        <v>157714</v>
      </c>
      <c r="L337" s="9">
        <v>145898</v>
      </c>
      <c r="M337" s="14">
        <f t="shared" si="18"/>
        <v>1.049569845724148</v>
      </c>
      <c r="N337" s="14">
        <f t="shared" si="19"/>
        <v>1.0448723638992099</v>
      </c>
      <c r="O337" s="14">
        <f t="shared" si="20"/>
        <v>1.0546477676184731</v>
      </c>
      <c r="P337" s="9">
        <v>5042</v>
      </c>
      <c r="Q337" s="9">
        <v>2641</v>
      </c>
      <c r="R337" s="9">
        <v>2402</v>
      </c>
    </row>
    <row r="338" spans="1:18" ht="17.45" customHeight="1" x14ac:dyDescent="0.25">
      <c r="A338" s="8">
        <v>2000</v>
      </c>
      <c r="B338" s="8" t="s">
        <v>81</v>
      </c>
      <c r="C338" s="9">
        <v>975137</v>
      </c>
      <c r="D338" s="9">
        <v>486957</v>
      </c>
      <c r="E338" s="9">
        <v>488180</v>
      </c>
      <c r="F338" s="9">
        <v>10000</v>
      </c>
      <c r="G338" s="9">
        <v>453356</v>
      </c>
      <c r="H338" s="9">
        <v>230871</v>
      </c>
      <c r="I338" s="9">
        <v>222485</v>
      </c>
      <c r="J338" s="9">
        <v>478954</v>
      </c>
      <c r="K338" s="9">
        <v>244474</v>
      </c>
      <c r="L338" s="9">
        <v>234480</v>
      </c>
      <c r="M338" s="14">
        <f t="shared" si="18"/>
        <v>0.94655436639009172</v>
      </c>
      <c r="N338" s="14">
        <f t="shared" si="19"/>
        <v>0.94435809124896719</v>
      </c>
      <c r="O338" s="14">
        <f t="shared" si="20"/>
        <v>0.94884425110883652</v>
      </c>
      <c r="P338" s="9">
        <v>7527</v>
      </c>
      <c r="Q338" s="9">
        <v>3813</v>
      </c>
      <c r="R338" s="9">
        <v>3714</v>
      </c>
    </row>
    <row r="339" spans="1:18" ht="17.45" customHeight="1" x14ac:dyDescent="0.25">
      <c r="A339" s="2">
        <v>1975</v>
      </c>
      <c r="B339" s="2" t="s">
        <v>82</v>
      </c>
      <c r="C339" s="3">
        <v>164591</v>
      </c>
      <c r="D339" s="3">
        <v>82759</v>
      </c>
      <c r="E339" s="3">
        <v>81832</v>
      </c>
      <c r="F339" s="3">
        <v>2000</v>
      </c>
      <c r="G339" s="3">
        <v>35528</v>
      </c>
      <c r="H339" s="3">
        <v>20532</v>
      </c>
      <c r="I339" s="3">
        <v>14996</v>
      </c>
      <c r="J339" s="3">
        <v>35332</v>
      </c>
      <c r="K339" s="3">
        <v>20545</v>
      </c>
      <c r="L339" s="3">
        <v>14787</v>
      </c>
      <c r="M339" s="13">
        <f t="shared" si="18"/>
        <v>1.0055473791463829</v>
      </c>
      <c r="N339" s="13">
        <f t="shared" si="19"/>
        <v>0.9993672426381115</v>
      </c>
      <c r="O339" s="13">
        <f t="shared" si="20"/>
        <v>1.0141340366538176</v>
      </c>
      <c r="P339" s="3">
        <v>617</v>
      </c>
      <c r="Q339" s="3">
        <v>306</v>
      </c>
      <c r="R339" s="3">
        <v>310</v>
      </c>
    </row>
    <row r="340" spans="1:18" ht="17.45" customHeight="1" x14ac:dyDescent="0.25">
      <c r="A340" s="2">
        <v>1980</v>
      </c>
      <c r="B340" s="2" t="s">
        <v>82</v>
      </c>
      <c r="C340" s="3">
        <v>157974</v>
      </c>
      <c r="D340" s="3">
        <v>79227</v>
      </c>
      <c r="E340" s="3">
        <v>78747</v>
      </c>
      <c r="F340" s="3">
        <v>2000</v>
      </c>
      <c r="G340" s="3">
        <v>34467</v>
      </c>
      <c r="H340" s="3">
        <v>19073</v>
      </c>
      <c r="I340" s="3">
        <v>15394</v>
      </c>
      <c r="J340" s="3">
        <v>36184</v>
      </c>
      <c r="K340" s="3">
        <v>19979</v>
      </c>
      <c r="L340" s="3">
        <v>16205</v>
      </c>
      <c r="M340" s="13">
        <f t="shared" si="18"/>
        <v>0.95254808755250941</v>
      </c>
      <c r="N340" s="13">
        <f t="shared" si="19"/>
        <v>0.95465238500425442</v>
      </c>
      <c r="O340" s="13">
        <f t="shared" si="20"/>
        <v>0.94995371798827521</v>
      </c>
      <c r="P340" s="3">
        <v>782</v>
      </c>
      <c r="Q340" s="3">
        <v>410</v>
      </c>
      <c r="R340" s="3">
        <v>373</v>
      </c>
    </row>
    <row r="341" spans="1:18" ht="17.45" customHeight="1" x14ac:dyDescent="0.25">
      <c r="A341" s="2">
        <v>1985</v>
      </c>
      <c r="B341" s="2" t="s">
        <v>82</v>
      </c>
      <c r="C341" s="3">
        <v>151906</v>
      </c>
      <c r="D341" s="3">
        <v>75288</v>
      </c>
      <c r="E341" s="3">
        <v>76618</v>
      </c>
      <c r="F341" s="3">
        <v>2000</v>
      </c>
      <c r="G341" s="3">
        <v>45113</v>
      </c>
      <c r="H341" s="3">
        <v>24348</v>
      </c>
      <c r="I341" s="3">
        <v>20765</v>
      </c>
      <c r="J341" s="3">
        <v>43085</v>
      </c>
      <c r="K341" s="3">
        <v>23316</v>
      </c>
      <c r="L341" s="3">
        <v>19769</v>
      </c>
      <c r="M341" s="13">
        <f t="shared" si="18"/>
        <v>1.0470697458512244</v>
      </c>
      <c r="N341" s="13">
        <f t="shared" si="19"/>
        <v>1.0442614513638704</v>
      </c>
      <c r="O341" s="13">
        <f t="shared" si="20"/>
        <v>1.0503819110728918</v>
      </c>
      <c r="P341" s="3">
        <v>833</v>
      </c>
      <c r="Q341" s="3">
        <v>428</v>
      </c>
      <c r="R341" s="3">
        <v>405</v>
      </c>
    </row>
    <row r="342" spans="1:18" ht="17.45" customHeight="1" x14ac:dyDescent="0.25">
      <c r="A342" s="2">
        <v>1990</v>
      </c>
      <c r="B342" s="2" t="s">
        <v>82</v>
      </c>
      <c r="C342" s="3">
        <v>133143</v>
      </c>
      <c r="D342" s="3">
        <v>67462</v>
      </c>
      <c r="E342" s="3">
        <v>65681</v>
      </c>
      <c r="F342" s="3">
        <v>2000</v>
      </c>
      <c r="G342" s="3">
        <v>50799</v>
      </c>
      <c r="H342" s="3">
        <v>27871</v>
      </c>
      <c r="I342" s="3">
        <v>22928</v>
      </c>
      <c r="J342" s="3">
        <v>50799</v>
      </c>
      <c r="K342" s="3">
        <v>27871</v>
      </c>
      <c r="L342" s="3">
        <v>22928</v>
      </c>
      <c r="M342" s="13">
        <f t="shared" si="18"/>
        <v>1</v>
      </c>
      <c r="N342" s="13">
        <f t="shared" si="19"/>
        <v>1</v>
      </c>
      <c r="O342" s="13">
        <f t="shared" si="20"/>
        <v>1</v>
      </c>
      <c r="P342" s="3">
        <v>769</v>
      </c>
      <c r="Q342" s="3">
        <v>402</v>
      </c>
      <c r="R342" s="3">
        <v>367</v>
      </c>
    </row>
    <row r="343" spans="1:18" ht="17.45" customHeight="1" x14ac:dyDescent="0.25">
      <c r="A343" s="2">
        <v>2000</v>
      </c>
      <c r="B343" s="2" t="s">
        <v>82</v>
      </c>
      <c r="C343" s="3">
        <v>93584</v>
      </c>
      <c r="D343" s="3">
        <v>54529</v>
      </c>
      <c r="E343" s="3">
        <v>39055</v>
      </c>
      <c r="F343" s="3">
        <v>2000</v>
      </c>
      <c r="G343" s="3">
        <v>52583</v>
      </c>
      <c r="H343" s="3">
        <v>31911</v>
      </c>
      <c r="I343" s="3">
        <v>20672</v>
      </c>
      <c r="J343" s="3">
        <v>54476</v>
      </c>
      <c r="K343" s="3">
        <v>32991</v>
      </c>
      <c r="L343" s="3">
        <v>21485</v>
      </c>
      <c r="M343" s="13">
        <f t="shared" si="18"/>
        <v>0.96525075262500915</v>
      </c>
      <c r="N343" s="13">
        <f t="shared" si="19"/>
        <v>0.96726379921796857</v>
      </c>
      <c r="O343" s="13">
        <f t="shared" si="20"/>
        <v>0.96215964626483597</v>
      </c>
      <c r="P343" s="3">
        <v>672</v>
      </c>
      <c r="Q343" s="3">
        <v>331</v>
      </c>
      <c r="R343" s="3">
        <v>342</v>
      </c>
    </row>
    <row r="344" spans="1:18" ht="17.45" customHeight="1" x14ac:dyDescent="0.25">
      <c r="A344" s="8">
        <v>1975</v>
      </c>
      <c r="B344" s="8" t="s">
        <v>83</v>
      </c>
      <c r="C344" s="9">
        <v>229679</v>
      </c>
      <c r="D344" s="9">
        <v>116149</v>
      </c>
      <c r="E344" s="9">
        <v>113530</v>
      </c>
      <c r="F344" s="9">
        <v>5000</v>
      </c>
      <c r="G344" s="9">
        <v>78209</v>
      </c>
      <c r="H344" s="9">
        <v>40861</v>
      </c>
      <c r="I344" s="9">
        <v>37348</v>
      </c>
      <c r="J344" s="9">
        <v>86817</v>
      </c>
      <c r="K344" s="9">
        <v>45264</v>
      </c>
      <c r="L344" s="9">
        <v>41553</v>
      </c>
      <c r="M344" s="14">
        <f t="shared" si="18"/>
        <v>0.90084891207943141</v>
      </c>
      <c r="N344" s="14">
        <f t="shared" si="19"/>
        <v>0.90272622834923999</v>
      </c>
      <c r="O344" s="14">
        <f t="shared" si="20"/>
        <v>0.89880393714051932</v>
      </c>
      <c r="P344" s="9">
        <v>2541</v>
      </c>
      <c r="Q344" s="9">
        <v>1329</v>
      </c>
      <c r="R344" s="9">
        <v>1212</v>
      </c>
    </row>
    <row r="345" spans="1:18" ht="17.45" customHeight="1" x14ac:dyDescent="0.25">
      <c r="A345" s="8">
        <v>1980</v>
      </c>
      <c r="B345" s="8" t="s">
        <v>83</v>
      </c>
      <c r="C345" s="9">
        <v>247224</v>
      </c>
      <c r="D345" s="9">
        <v>120252</v>
      </c>
      <c r="E345" s="9">
        <v>126972</v>
      </c>
      <c r="F345" s="9">
        <v>5000</v>
      </c>
      <c r="G345" s="9">
        <v>94470</v>
      </c>
      <c r="H345" s="9">
        <v>47400</v>
      </c>
      <c r="I345" s="9">
        <v>47070</v>
      </c>
      <c r="J345" s="9">
        <v>103474</v>
      </c>
      <c r="K345" s="9">
        <v>51841</v>
      </c>
      <c r="L345" s="9">
        <v>51633</v>
      </c>
      <c r="M345" s="14">
        <f t="shared" si="18"/>
        <v>0.91298297156773678</v>
      </c>
      <c r="N345" s="14">
        <f t="shared" si="19"/>
        <v>0.91433421423197858</v>
      </c>
      <c r="O345" s="14">
        <f t="shared" si="20"/>
        <v>0.91162628551507752</v>
      </c>
      <c r="P345" s="9">
        <v>2650</v>
      </c>
      <c r="Q345" s="9">
        <v>1341</v>
      </c>
      <c r="R345" s="9">
        <v>1309</v>
      </c>
    </row>
    <row r="346" spans="1:18" ht="17.45" customHeight="1" x14ac:dyDescent="0.25">
      <c r="A346" s="8">
        <v>1985</v>
      </c>
      <c r="B346" s="8" t="s">
        <v>83</v>
      </c>
      <c r="C346" s="9">
        <v>271261</v>
      </c>
      <c r="D346" s="9">
        <v>134066</v>
      </c>
      <c r="E346" s="9">
        <v>137195</v>
      </c>
      <c r="F346" s="9">
        <v>5000</v>
      </c>
      <c r="G346" s="9">
        <v>121253</v>
      </c>
      <c r="H346" s="9">
        <v>61312</v>
      </c>
      <c r="I346" s="9">
        <v>59941</v>
      </c>
      <c r="J346" s="9">
        <v>126078</v>
      </c>
      <c r="K346" s="9">
        <v>63759</v>
      </c>
      <c r="L346" s="9">
        <v>62319</v>
      </c>
      <c r="M346" s="14">
        <f t="shared" si="18"/>
        <v>0.96173004013388541</v>
      </c>
      <c r="N346" s="14">
        <f t="shared" si="19"/>
        <v>0.9616211044715256</v>
      </c>
      <c r="O346" s="14">
        <f t="shared" si="20"/>
        <v>0.96184149296362265</v>
      </c>
      <c r="P346" s="9">
        <v>2565</v>
      </c>
      <c r="Q346" s="9">
        <v>1300</v>
      </c>
      <c r="R346" s="9">
        <v>1265</v>
      </c>
    </row>
    <row r="347" spans="1:18" ht="17.45" customHeight="1" x14ac:dyDescent="0.25">
      <c r="A347" s="8">
        <v>1990</v>
      </c>
      <c r="B347" s="8" t="s">
        <v>83</v>
      </c>
      <c r="C347" s="9">
        <v>290283</v>
      </c>
      <c r="D347" s="9">
        <v>144224</v>
      </c>
      <c r="E347" s="9">
        <v>146059</v>
      </c>
      <c r="F347" s="9">
        <v>5000</v>
      </c>
      <c r="G347" s="9">
        <v>146809</v>
      </c>
      <c r="H347" s="9">
        <v>75112</v>
      </c>
      <c r="I347" s="9">
        <v>71697</v>
      </c>
      <c r="J347" s="9">
        <v>146809</v>
      </c>
      <c r="K347" s="9">
        <v>75112</v>
      </c>
      <c r="L347" s="9">
        <v>71697</v>
      </c>
      <c r="M347" s="14">
        <f t="shared" si="18"/>
        <v>1</v>
      </c>
      <c r="N347" s="14">
        <f t="shared" si="19"/>
        <v>1</v>
      </c>
      <c r="O347" s="14">
        <f t="shared" si="20"/>
        <v>1</v>
      </c>
      <c r="P347" s="9">
        <v>2638</v>
      </c>
      <c r="Q347" s="9">
        <v>1349</v>
      </c>
      <c r="R347" s="9">
        <v>1289</v>
      </c>
    </row>
    <row r="348" spans="1:18" x14ac:dyDescent="0.25">
      <c r="A348" s="8">
        <v>2000</v>
      </c>
      <c r="B348" s="8" t="s">
        <v>83</v>
      </c>
      <c r="C348" s="9">
        <v>322313</v>
      </c>
      <c r="D348" s="9">
        <v>159804</v>
      </c>
      <c r="E348" s="9">
        <v>162509</v>
      </c>
      <c r="F348" s="9">
        <v>5000</v>
      </c>
      <c r="G348" s="9">
        <v>182040</v>
      </c>
      <c r="H348" s="9">
        <v>90520</v>
      </c>
      <c r="I348" s="9">
        <v>91520</v>
      </c>
      <c r="J348" s="9">
        <v>182040</v>
      </c>
      <c r="K348" s="9">
        <v>91520</v>
      </c>
      <c r="L348" s="9">
        <v>90520</v>
      </c>
      <c r="M348" s="14">
        <f t="shared" si="18"/>
        <v>1</v>
      </c>
      <c r="N348" s="14">
        <f t="shared" si="19"/>
        <v>0.98907342657342656</v>
      </c>
      <c r="O348" s="14">
        <f t="shared" si="20"/>
        <v>1.0110472823685372</v>
      </c>
      <c r="P348" s="9">
        <v>3116</v>
      </c>
      <c r="Q348" s="9">
        <v>1654</v>
      </c>
      <c r="R348" s="9">
        <v>1464</v>
      </c>
    </row>
    <row r="349" spans="1:18" x14ac:dyDescent="0.25">
      <c r="A349" s="2">
        <v>1975</v>
      </c>
      <c r="B349" s="2" t="s">
        <v>84</v>
      </c>
      <c r="C349" s="3">
        <v>386314</v>
      </c>
      <c r="D349" s="3">
        <v>203229</v>
      </c>
      <c r="E349" s="3">
        <v>183085</v>
      </c>
      <c r="F349" s="3">
        <v>5000</v>
      </c>
      <c r="G349" s="3">
        <v>107239</v>
      </c>
      <c r="H349" s="3">
        <v>58912</v>
      </c>
      <c r="I349" s="3">
        <v>48327</v>
      </c>
      <c r="J349" s="3">
        <v>115830</v>
      </c>
      <c r="K349" s="3">
        <v>63342</v>
      </c>
      <c r="L349" s="3">
        <v>52488</v>
      </c>
      <c r="M349" s="13">
        <f t="shared" si="18"/>
        <v>0.92583095916429248</v>
      </c>
      <c r="N349" s="13">
        <f t="shared" si="19"/>
        <v>0.93006220201446121</v>
      </c>
      <c r="O349" s="13">
        <f t="shared" si="20"/>
        <v>0.92072473708276181</v>
      </c>
      <c r="P349" s="3">
        <v>3285</v>
      </c>
      <c r="Q349" s="3">
        <v>1700</v>
      </c>
      <c r="R349" s="3">
        <v>1586</v>
      </c>
    </row>
    <row r="350" spans="1:18" x14ac:dyDescent="0.25">
      <c r="A350" s="2">
        <v>1980</v>
      </c>
      <c r="B350" s="2" t="s">
        <v>84</v>
      </c>
      <c r="C350" s="3">
        <v>468646</v>
      </c>
      <c r="D350" s="3">
        <v>244802</v>
      </c>
      <c r="E350" s="3">
        <v>223844</v>
      </c>
      <c r="F350" s="3">
        <v>5000</v>
      </c>
      <c r="G350" s="3">
        <v>147884</v>
      </c>
      <c r="H350" s="3">
        <v>80494</v>
      </c>
      <c r="I350" s="3">
        <v>67390</v>
      </c>
      <c r="J350" s="3">
        <v>156852</v>
      </c>
      <c r="K350" s="3">
        <v>85213</v>
      </c>
      <c r="L350" s="3">
        <v>71639</v>
      </c>
      <c r="M350" s="13">
        <f t="shared" si="18"/>
        <v>0.94282508351822103</v>
      </c>
      <c r="N350" s="13">
        <f t="shared" si="19"/>
        <v>0.94462112588454816</v>
      </c>
      <c r="O350" s="13">
        <f t="shared" si="20"/>
        <v>0.9406887309984785</v>
      </c>
      <c r="P350" s="3">
        <v>4009</v>
      </c>
      <c r="Q350" s="3">
        <v>2084</v>
      </c>
      <c r="R350" s="3">
        <v>1925</v>
      </c>
    </row>
    <row r="351" spans="1:18" x14ac:dyDescent="0.25">
      <c r="A351" s="2">
        <v>1985</v>
      </c>
      <c r="B351" s="2" t="s">
        <v>84</v>
      </c>
      <c r="C351" s="3">
        <v>547216</v>
      </c>
      <c r="D351" s="3">
        <v>280658</v>
      </c>
      <c r="E351" s="3">
        <v>266558</v>
      </c>
      <c r="F351" s="3">
        <v>5000</v>
      </c>
      <c r="G351" s="3">
        <v>178542</v>
      </c>
      <c r="H351" s="3">
        <v>96030</v>
      </c>
      <c r="I351" s="3">
        <v>82512</v>
      </c>
      <c r="J351" s="3">
        <v>189269</v>
      </c>
      <c r="K351" s="3">
        <v>101759</v>
      </c>
      <c r="L351" s="3">
        <v>87510</v>
      </c>
      <c r="M351" s="13">
        <f t="shared" si="18"/>
        <v>0.94332405201063041</v>
      </c>
      <c r="N351" s="13">
        <f t="shared" si="19"/>
        <v>0.94370031152035694</v>
      </c>
      <c r="O351" s="13">
        <f t="shared" si="20"/>
        <v>0.94288652725402811</v>
      </c>
      <c r="P351" s="3">
        <v>4158</v>
      </c>
      <c r="Q351" s="3">
        <v>2189</v>
      </c>
      <c r="R351" s="3">
        <v>1968</v>
      </c>
    </row>
    <row r="352" spans="1:18" x14ac:dyDescent="0.25">
      <c r="A352" s="2">
        <v>1990</v>
      </c>
      <c r="B352" s="2" t="s">
        <v>84</v>
      </c>
      <c r="C352" s="3">
        <v>637433</v>
      </c>
      <c r="D352" s="3">
        <v>324624</v>
      </c>
      <c r="E352" s="3">
        <v>312809</v>
      </c>
      <c r="F352" s="3">
        <v>5000</v>
      </c>
      <c r="G352" s="3">
        <v>231171</v>
      </c>
      <c r="H352" s="3">
        <v>123142</v>
      </c>
      <c r="I352" s="3">
        <v>108029</v>
      </c>
      <c r="J352" s="3">
        <v>258967</v>
      </c>
      <c r="K352" s="3">
        <v>138166</v>
      </c>
      <c r="L352" s="3">
        <v>120801</v>
      </c>
      <c r="M352" s="13">
        <f t="shared" si="18"/>
        <v>0.89266586090119593</v>
      </c>
      <c r="N352" s="13">
        <f t="shared" si="19"/>
        <v>0.89126123648365008</v>
      </c>
      <c r="O352" s="13">
        <f t="shared" si="20"/>
        <v>0.894272398407298</v>
      </c>
      <c r="P352" s="3">
        <v>6823</v>
      </c>
      <c r="Q352" s="3">
        <v>3525</v>
      </c>
      <c r="R352" s="3">
        <v>3298</v>
      </c>
    </row>
    <row r="353" spans="1:18" x14ac:dyDescent="0.25">
      <c r="A353" s="2">
        <v>2000</v>
      </c>
      <c r="B353" s="2" t="s">
        <v>84</v>
      </c>
      <c r="C353" s="3">
        <v>877524</v>
      </c>
      <c r="D353" s="3">
        <v>448039</v>
      </c>
      <c r="E353" s="3">
        <v>429485</v>
      </c>
      <c r="F353" s="3">
        <v>10000</v>
      </c>
      <c r="G353" s="3">
        <v>438983</v>
      </c>
      <c r="H353" s="3">
        <v>231514</v>
      </c>
      <c r="I353" s="3">
        <v>207469</v>
      </c>
      <c r="J353" s="3">
        <v>446976</v>
      </c>
      <c r="K353" s="3">
        <v>237246</v>
      </c>
      <c r="L353" s="3">
        <v>209730</v>
      </c>
      <c r="M353" s="13">
        <f t="shared" si="18"/>
        <v>0.9821176081042382</v>
      </c>
      <c r="N353" s="13">
        <f t="shared" si="19"/>
        <v>0.97583942405772905</v>
      </c>
      <c r="O353" s="13">
        <f t="shared" si="20"/>
        <v>0.98921947265531873</v>
      </c>
      <c r="P353" s="3">
        <v>12963</v>
      </c>
      <c r="Q353" s="3">
        <v>6728</v>
      </c>
      <c r="R353" s="3">
        <v>6233</v>
      </c>
    </row>
    <row r="354" spans="1:18" x14ac:dyDescent="0.25">
      <c r="A354" s="8">
        <v>2000</v>
      </c>
      <c r="B354" s="8" t="s">
        <v>85</v>
      </c>
      <c r="C354" s="9">
        <v>168593</v>
      </c>
      <c r="D354" s="9">
        <v>88750</v>
      </c>
      <c r="E354" s="9">
        <v>79843</v>
      </c>
      <c r="F354" s="9">
        <v>5000</v>
      </c>
      <c r="G354" s="9">
        <v>100106</v>
      </c>
      <c r="H354" s="9">
        <v>51047</v>
      </c>
      <c r="I354" s="9">
        <v>49059</v>
      </c>
      <c r="J354" s="9">
        <v>98661</v>
      </c>
      <c r="K354" s="9">
        <v>49922</v>
      </c>
      <c r="L354" s="9">
        <v>48739</v>
      </c>
      <c r="M354" s="14">
        <f t="shared" si="18"/>
        <v>1.0146461114320755</v>
      </c>
      <c r="N354" s="14">
        <f t="shared" si="19"/>
        <v>1.0225351548415529</v>
      </c>
      <c r="O354" s="14">
        <f t="shared" si="20"/>
        <v>1.0065655840292169</v>
      </c>
      <c r="P354" s="9">
        <v>1406</v>
      </c>
      <c r="Q354" s="9">
        <v>726</v>
      </c>
      <c r="R354" s="9">
        <v>681</v>
      </c>
    </row>
    <row r="355" spans="1:18" x14ac:dyDescent="0.25">
      <c r="A355" s="2">
        <v>1975</v>
      </c>
      <c r="B355" s="2" t="s">
        <v>86</v>
      </c>
      <c r="C355" s="3">
        <v>500371</v>
      </c>
      <c r="D355" s="3">
        <v>248490</v>
      </c>
      <c r="E355" s="3">
        <v>251881</v>
      </c>
      <c r="F355" s="3">
        <v>5000</v>
      </c>
      <c r="G355" s="3">
        <v>111733</v>
      </c>
      <c r="H355" s="3">
        <v>58912</v>
      </c>
      <c r="I355" s="3">
        <v>52821</v>
      </c>
      <c r="J355" s="3">
        <v>108543</v>
      </c>
      <c r="K355" s="3">
        <v>57292</v>
      </c>
      <c r="L355" s="3">
        <v>51251</v>
      </c>
      <c r="M355" s="13">
        <f t="shared" si="18"/>
        <v>1.0293892742968225</v>
      </c>
      <c r="N355" s="13">
        <f t="shared" si="19"/>
        <v>1.028276199120296</v>
      </c>
      <c r="O355" s="13">
        <f t="shared" si="20"/>
        <v>1.0306335486136855</v>
      </c>
      <c r="P355" s="3">
        <v>2815</v>
      </c>
      <c r="Q355" s="3">
        <v>1449</v>
      </c>
      <c r="R355" s="3">
        <v>1366</v>
      </c>
    </row>
    <row r="356" spans="1:18" x14ac:dyDescent="0.25">
      <c r="A356" s="2">
        <v>1980</v>
      </c>
      <c r="B356" s="2" t="s">
        <v>86</v>
      </c>
      <c r="C356" s="3">
        <v>504433</v>
      </c>
      <c r="D356" s="3">
        <v>245702</v>
      </c>
      <c r="E356" s="3">
        <v>258731</v>
      </c>
      <c r="F356" s="3">
        <v>5000</v>
      </c>
      <c r="G356" s="3">
        <v>130204</v>
      </c>
      <c r="H356" s="3">
        <v>66337</v>
      </c>
      <c r="I356" s="3">
        <v>63867</v>
      </c>
      <c r="J356" s="3">
        <v>124297</v>
      </c>
      <c r="K356" s="3">
        <v>63449</v>
      </c>
      <c r="L356" s="3">
        <v>60848</v>
      </c>
      <c r="M356" s="13">
        <f t="shared" si="18"/>
        <v>1.0475232708754032</v>
      </c>
      <c r="N356" s="13">
        <f t="shared" si="19"/>
        <v>1.0455168718183108</v>
      </c>
      <c r="O356" s="13">
        <f t="shared" si="20"/>
        <v>1.0496154351827505</v>
      </c>
      <c r="P356" s="3">
        <v>2889</v>
      </c>
      <c r="Q356" s="3">
        <v>1465</v>
      </c>
      <c r="R356" s="3">
        <v>1423</v>
      </c>
    </row>
    <row r="357" spans="1:18" x14ac:dyDescent="0.25">
      <c r="A357" s="2">
        <v>1985</v>
      </c>
      <c r="B357" s="2" t="s">
        <v>86</v>
      </c>
      <c r="C357" s="3">
        <v>545301</v>
      </c>
      <c r="D357" s="3">
        <v>263093</v>
      </c>
      <c r="E357" s="3">
        <v>282208</v>
      </c>
      <c r="F357" s="3">
        <v>5000</v>
      </c>
      <c r="G357" s="3">
        <v>163787</v>
      </c>
      <c r="H357" s="3">
        <v>82685</v>
      </c>
      <c r="I357" s="3">
        <v>81102</v>
      </c>
      <c r="J357" s="3">
        <v>151610</v>
      </c>
      <c r="K357" s="3">
        <v>76648</v>
      </c>
      <c r="L357" s="3">
        <v>74962</v>
      </c>
      <c r="M357" s="13">
        <f t="shared" si="18"/>
        <v>1.0803179209814655</v>
      </c>
      <c r="N357" s="13">
        <f t="shared" si="19"/>
        <v>1.0787626552551925</v>
      </c>
      <c r="O357" s="13">
        <f t="shared" si="20"/>
        <v>1.0819081668045143</v>
      </c>
      <c r="P357" s="3">
        <v>3080</v>
      </c>
      <c r="Q357" s="3">
        <v>1549</v>
      </c>
      <c r="R357" s="3">
        <v>1531</v>
      </c>
    </row>
    <row r="358" spans="1:18" x14ac:dyDescent="0.25">
      <c r="A358" s="2">
        <v>1990</v>
      </c>
      <c r="B358" s="2" t="s">
        <v>86</v>
      </c>
      <c r="C358" s="3">
        <v>579150</v>
      </c>
      <c r="D358" s="3">
        <v>282399</v>
      </c>
      <c r="E358" s="3">
        <v>296751</v>
      </c>
      <c r="F358" s="3">
        <v>5000</v>
      </c>
      <c r="G358" s="3">
        <v>206301</v>
      </c>
      <c r="H358" s="3">
        <v>104538</v>
      </c>
      <c r="I358" s="3">
        <v>101763</v>
      </c>
      <c r="J358" s="3">
        <v>208183</v>
      </c>
      <c r="K358" s="3">
        <v>105648</v>
      </c>
      <c r="L358" s="3">
        <v>102535</v>
      </c>
      <c r="M358" s="13">
        <f t="shared" si="18"/>
        <v>0.99095987664698848</v>
      </c>
      <c r="N358" s="13">
        <f t="shared" si="19"/>
        <v>0.98949341208541575</v>
      </c>
      <c r="O358" s="13">
        <f t="shared" si="20"/>
        <v>0.99247086360754866</v>
      </c>
      <c r="P358" s="3">
        <v>4419</v>
      </c>
      <c r="Q358" s="3">
        <v>2306</v>
      </c>
      <c r="R358" s="3">
        <v>2113</v>
      </c>
    </row>
    <row r="359" spans="1:18" x14ac:dyDescent="0.25">
      <c r="A359" s="2">
        <v>2000</v>
      </c>
      <c r="B359" s="2" t="s">
        <v>86</v>
      </c>
      <c r="C359" s="3">
        <v>682919</v>
      </c>
      <c r="D359" s="3">
        <v>342771</v>
      </c>
      <c r="E359" s="3">
        <v>340148</v>
      </c>
      <c r="F359" s="3">
        <v>10000</v>
      </c>
      <c r="G359" s="3">
        <v>285737</v>
      </c>
      <c r="H359" s="3">
        <v>146790</v>
      </c>
      <c r="I359" s="3">
        <v>138947</v>
      </c>
      <c r="J359" s="3">
        <v>315156</v>
      </c>
      <c r="K359" s="3">
        <v>162273</v>
      </c>
      <c r="L359" s="3">
        <v>152883</v>
      </c>
      <c r="M359" s="13">
        <f t="shared" si="18"/>
        <v>0.90665257840561497</v>
      </c>
      <c r="N359" s="13">
        <f t="shared" si="19"/>
        <v>0.90458671498031096</v>
      </c>
      <c r="O359" s="13">
        <f t="shared" si="20"/>
        <v>0.90884532616445257</v>
      </c>
      <c r="P359" s="3">
        <v>5751</v>
      </c>
      <c r="Q359" s="3">
        <v>2999</v>
      </c>
      <c r="R359" s="3">
        <v>2752</v>
      </c>
    </row>
    <row r="360" spans="1:18" x14ac:dyDescent="0.25">
      <c r="A360" s="8">
        <v>1975</v>
      </c>
      <c r="B360" s="8" t="s">
        <v>40</v>
      </c>
      <c r="C360" s="9">
        <v>836156</v>
      </c>
      <c r="D360" s="9">
        <v>426668</v>
      </c>
      <c r="E360" s="9">
        <v>409488</v>
      </c>
      <c r="F360" s="9">
        <v>25000</v>
      </c>
      <c r="G360" s="9">
        <v>259366</v>
      </c>
      <c r="H360" s="9">
        <v>149134</v>
      </c>
      <c r="I360" s="9">
        <v>110232</v>
      </c>
      <c r="J360" s="9">
        <v>263365</v>
      </c>
      <c r="K360" s="9">
        <v>144608</v>
      </c>
      <c r="L360" s="9">
        <v>118757</v>
      </c>
      <c r="M360" s="14">
        <f t="shared" si="18"/>
        <v>0.9848157500047463</v>
      </c>
      <c r="N360" s="14">
        <f t="shared" si="19"/>
        <v>1.031298406727152</v>
      </c>
      <c r="O360" s="14">
        <f t="shared" si="20"/>
        <v>0.92821475786690466</v>
      </c>
      <c r="P360" s="9">
        <v>8227</v>
      </c>
      <c r="Q360" s="9">
        <v>4010</v>
      </c>
      <c r="R360" s="9">
        <v>4273</v>
      </c>
    </row>
    <row r="361" spans="1:18" x14ac:dyDescent="0.25">
      <c r="A361" s="8">
        <v>1980</v>
      </c>
      <c r="B361" s="8" t="s">
        <v>40</v>
      </c>
      <c r="C361" s="9">
        <v>954512</v>
      </c>
      <c r="D361" s="9">
        <v>475105</v>
      </c>
      <c r="E361" s="9">
        <v>479407</v>
      </c>
      <c r="F361" s="9">
        <v>25000</v>
      </c>
      <c r="G361" s="9">
        <v>309760</v>
      </c>
      <c r="H361" s="9">
        <v>166033</v>
      </c>
      <c r="I361" s="9">
        <v>143727</v>
      </c>
      <c r="J361" s="9">
        <v>312843</v>
      </c>
      <c r="K361" s="9">
        <v>164455</v>
      </c>
      <c r="L361" s="9">
        <v>148388</v>
      </c>
      <c r="M361" s="14">
        <f t="shared" si="18"/>
        <v>0.99014521661024857</v>
      </c>
      <c r="N361" s="14">
        <f t="shared" si="19"/>
        <v>1.0095953300294913</v>
      </c>
      <c r="O361" s="14">
        <f t="shared" si="20"/>
        <v>0.96858910424023503</v>
      </c>
      <c r="P361" s="9">
        <v>8127</v>
      </c>
      <c r="Q361" s="9">
        <v>4039</v>
      </c>
      <c r="R361" s="9">
        <v>4098</v>
      </c>
    </row>
    <row r="362" spans="1:18" x14ac:dyDescent="0.25">
      <c r="A362" s="8">
        <v>1985</v>
      </c>
      <c r="B362" s="8" t="s">
        <v>40</v>
      </c>
      <c r="C362" s="9">
        <v>1044945</v>
      </c>
      <c r="D362" s="9">
        <v>519264</v>
      </c>
      <c r="E362" s="9">
        <v>525681</v>
      </c>
      <c r="F362" s="9">
        <v>25000</v>
      </c>
      <c r="G362" s="9">
        <v>363090</v>
      </c>
      <c r="H362" s="9">
        <v>192739</v>
      </c>
      <c r="I362" s="9">
        <v>170351</v>
      </c>
      <c r="J362" s="9">
        <v>350832</v>
      </c>
      <c r="K362" s="9">
        <v>184057</v>
      </c>
      <c r="L362" s="9">
        <v>166775</v>
      </c>
      <c r="M362" s="14">
        <f t="shared" si="18"/>
        <v>1.0349398002462717</v>
      </c>
      <c r="N362" s="14">
        <f t="shared" si="19"/>
        <v>1.0471701701103462</v>
      </c>
      <c r="O362" s="14">
        <f t="shared" si="20"/>
        <v>1.0214420626592715</v>
      </c>
      <c r="P362" s="9">
        <v>6639</v>
      </c>
      <c r="Q362" s="9">
        <v>3296</v>
      </c>
      <c r="R362" s="9">
        <v>3348</v>
      </c>
    </row>
    <row r="363" spans="1:18" x14ac:dyDescent="0.25">
      <c r="A363" s="8">
        <v>1990</v>
      </c>
      <c r="B363" s="8" t="s">
        <v>40</v>
      </c>
      <c r="C363" s="9">
        <v>1073560</v>
      </c>
      <c r="D363" s="9">
        <v>526041</v>
      </c>
      <c r="E363" s="9">
        <v>547519</v>
      </c>
      <c r="F363" s="9">
        <v>20000</v>
      </c>
      <c r="G363" s="9">
        <v>412000</v>
      </c>
      <c r="H363" s="9">
        <v>212927</v>
      </c>
      <c r="I363" s="9">
        <v>199073</v>
      </c>
      <c r="J363" s="9">
        <v>411617</v>
      </c>
      <c r="K363" s="9">
        <v>211691</v>
      </c>
      <c r="L363" s="9">
        <v>199926</v>
      </c>
      <c r="M363" s="14">
        <f t="shared" si="18"/>
        <v>1.0009304766324034</v>
      </c>
      <c r="N363" s="14">
        <f t="shared" si="19"/>
        <v>1.0058386988582415</v>
      </c>
      <c r="O363" s="14">
        <f t="shared" si="20"/>
        <v>0.99573342136590537</v>
      </c>
      <c r="P363" s="9">
        <v>6706</v>
      </c>
      <c r="Q363" s="9">
        <v>3442</v>
      </c>
      <c r="R363" s="9">
        <v>3264</v>
      </c>
    </row>
    <row r="364" spans="1:18" x14ac:dyDescent="0.25">
      <c r="A364" s="8">
        <v>2000</v>
      </c>
      <c r="B364" s="8" t="s">
        <v>40</v>
      </c>
      <c r="C364" s="9">
        <v>615599</v>
      </c>
      <c r="D364" s="9">
        <v>300676</v>
      </c>
      <c r="E364" s="9">
        <v>314923</v>
      </c>
      <c r="F364" s="9">
        <v>20000</v>
      </c>
      <c r="G364" s="9">
        <v>263524</v>
      </c>
      <c r="H364" s="9">
        <v>132784</v>
      </c>
      <c r="I364" s="9">
        <v>130740</v>
      </c>
      <c r="J364" s="9">
        <v>250282</v>
      </c>
      <c r="K364" s="9">
        <v>126067</v>
      </c>
      <c r="L364" s="9">
        <v>124215</v>
      </c>
      <c r="M364" s="14">
        <f t="shared" si="18"/>
        <v>1.0529083194156992</v>
      </c>
      <c r="N364" s="14">
        <f t="shared" si="19"/>
        <v>1.0532811917472455</v>
      </c>
      <c r="O364" s="14">
        <f t="shared" si="20"/>
        <v>1.0525298876947229</v>
      </c>
      <c r="P364" s="9">
        <v>3517</v>
      </c>
      <c r="Q364" s="9">
        <v>1851</v>
      </c>
      <c r="R364" s="9">
        <v>1666</v>
      </c>
    </row>
  </sheetData>
  <autoFilter ref="A1:E364" xr:uid="{C211A766-2876-44E7-9057-F6DDF5B93461}">
    <filterColumn colId="2" showButton="0"/>
    <filterColumn colId="3" showButton="0"/>
  </autoFilter>
  <sortState ref="A3:R362">
    <sortCondition ref="B1:B362"/>
    <sortCondition ref="A1:A362"/>
  </sortState>
  <mergeCells count="8">
    <mergeCell ref="B1:B2"/>
    <mergeCell ref="A1:A2"/>
    <mergeCell ref="F1:F2"/>
    <mergeCell ref="P1:R1"/>
    <mergeCell ref="C1:E1"/>
    <mergeCell ref="G1:I1"/>
    <mergeCell ref="J1:L1"/>
    <mergeCell ref="M1:O1"/>
  </mergeCells>
  <pageMargins left="0.15748031496062992" right="0.15748031496062992" top="0.47244094488188981" bottom="0.35433070866141736" header="0.15748031496062992" footer="0.15748031496062992"/>
  <pageSetup paperSize="9" scale="80" fitToHeight="0" orientation="landscape" r:id="rId1"/>
  <headerFooter>
    <oddHeader>&amp;C&amp;"-,Kalın"&amp;12 0 AGE POPULATION ESTIMATES BASED ON CITY-DISTRICT CENTERS OBTAINED BY USING THE TOTAL POPULATION, CITY POPULATION AND 0 AGE POPULATION BY POPULATION GROUPS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C771-1DDB-41A8-94E7-26F8C12652C8}">
  <dimension ref="A1:E2793"/>
  <sheetViews>
    <sheetView topLeftCell="A2045" workbookViewId="0">
      <selection activeCell="J2067" sqref="J2067"/>
    </sheetView>
  </sheetViews>
  <sheetFormatPr defaultRowHeight="15" x14ac:dyDescent="0.25"/>
  <cols>
    <col min="1" max="5" width="9.140625" style="18"/>
    <col min="6" max="16384" width="9.140625" style="17"/>
  </cols>
  <sheetData>
    <row r="1" spans="1:5" x14ac:dyDescent="0.25">
      <c r="A1" s="16" t="s">
        <v>103</v>
      </c>
      <c r="B1" s="16" t="s">
        <v>104</v>
      </c>
      <c r="C1" s="16" t="s">
        <v>91</v>
      </c>
      <c r="D1" s="16" t="s">
        <v>90</v>
      </c>
      <c r="E1" s="16" t="s">
        <v>89</v>
      </c>
    </row>
    <row r="2" spans="1:5" x14ac:dyDescent="0.25">
      <c r="A2" s="18">
        <v>1950</v>
      </c>
      <c r="B2" s="18" t="s">
        <v>105</v>
      </c>
      <c r="C2" s="18">
        <v>0</v>
      </c>
      <c r="D2" s="18">
        <v>0</v>
      </c>
      <c r="E2" s="18">
        <v>0</v>
      </c>
    </row>
    <row r="3" spans="1:5" x14ac:dyDescent="0.25">
      <c r="A3" s="18">
        <v>1951</v>
      </c>
      <c r="B3" s="18" t="s">
        <v>105</v>
      </c>
      <c r="C3" s="18">
        <v>0</v>
      </c>
      <c r="D3" s="18">
        <v>0</v>
      </c>
      <c r="E3" s="18">
        <v>0</v>
      </c>
    </row>
    <row r="4" spans="1:5" x14ac:dyDescent="0.25">
      <c r="A4" s="18">
        <v>1952</v>
      </c>
      <c r="B4" s="18" t="s">
        <v>105</v>
      </c>
      <c r="C4" s="18">
        <v>0</v>
      </c>
      <c r="D4" s="18">
        <v>0</v>
      </c>
      <c r="E4" s="18">
        <v>0</v>
      </c>
    </row>
    <row r="5" spans="1:5" x14ac:dyDescent="0.25">
      <c r="A5" s="18">
        <v>1953</v>
      </c>
      <c r="B5" s="18" t="s">
        <v>105</v>
      </c>
      <c r="C5" s="18">
        <v>0</v>
      </c>
      <c r="D5" s="18">
        <v>0</v>
      </c>
      <c r="E5" s="18">
        <v>0</v>
      </c>
    </row>
    <row r="6" spans="1:5" x14ac:dyDescent="0.25">
      <c r="A6" s="18">
        <v>1954</v>
      </c>
      <c r="B6" s="18" t="s">
        <v>105</v>
      </c>
      <c r="C6" s="18">
        <v>0</v>
      </c>
      <c r="D6" s="18">
        <v>0</v>
      </c>
      <c r="E6" s="18">
        <v>0</v>
      </c>
    </row>
    <row r="7" spans="1:5" x14ac:dyDescent="0.25">
      <c r="A7" s="18">
        <v>1955</v>
      </c>
      <c r="B7" s="18" t="s">
        <v>105</v>
      </c>
      <c r="C7" s="18">
        <v>0</v>
      </c>
      <c r="D7" s="18">
        <v>0</v>
      </c>
      <c r="E7" s="18">
        <v>0</v>
      </c>
    </row>
    <row r="8" spans="1:5" x14ac:dyDescent="0.25">
      <c r="A8" s="18">
        <v>1956</v>
      </c>
      <c r="B8" s="18" t="s">
        <v>105</v>
      </c>
      <c r="C8" s="18">
        <v>0</v>
      </c>
      <c r="D8" s="18">
        <v>0</v>
      </c>
      <c r="E8" s="18">
        <v>0</v>
      </c>
    </row>
    <row r="9" spans="1:5" x14ac:dyDescent="0.25">
      <c r="A9" s="18">
        <v>1957</v>
      </c>
      <c r="B9" s="18" t="s">
        <v>105</v>
      </c>
      <c r="C9" s="18">
        <v>0</v>
      </c>
      <c r="D9" s="18">
        <v>0</v>
      </c>
      <c r="E9" s="18">
        <v>0</v>
      </c>
    </row>
    <row r="10" spans="1:5" x14ac:dyDescent="0.25">
      <c r="A10" s="18">
        <v>1958</v>
      </c>
      <c r="B10" s="18" t="s">
        <v>105</v>
      </c>
      <c r="C10" s="18">
        <v>0</v>
      </c>
      <c r="D10" s="18">
        <v>0</v>
      </c>
      <c r="E10" s="18">
        <v>0</v>
      </c>
    </row>
    <row r="11" spans="1:5" x14ac:dyDescent="0.25">
      <c r="A11" s="18">
        <v>1959</v>
      </c>
      <c r="B11" s="18" t="s">
        <v>105</v>
      </c>
      <c r="C11" s="18">
        <v>0</v>
      </c>
      <c r="D11" s="18">
        <v>0</v>
      </c>
      <c r="E11" s="18">
        <v>0</v>
      </c>
    </row>
    <row r="12" spans="1:5" x14ac:dyDescent="0.25">
      <c r="A12" s="18">
        <v>1960</v>
      </c>
      <c r="B12" s="18" t="s">
        <v>105</v>
      </c>
      <c r="C12" s="18">
        <v>0</v>
      </c>
      <c r="D12" s="18">
        <v>0</v>
      </c>
      <c r="E12" s="18">
        <v>0</v>
      </c>
    </row>
    <row r="13" spans="1:5" x14ac:dyDescent="0.25">
      <c r="A13" s="18">
        <v>1961</v>
      </c>
      <c r="B13" s="18" t="s">
        <v>105</v>
      </c>
      <c r="C13" s="18">
        <v>0</v>
      </c>
      <c r="D13" s="18">
        <v>0</v>
      </c>
      <c r="E13" s="18">
        <v>0</v>
      </c>
    </row>
    <row r="14" spans="1:5" x14ac:dyDescent="0.25">
      <c r="A14" s="18">
        <v>1962</v>
      </c>
      <c r="B14" s="18" t="s">
        <v>105</v>
      </c>
      <c r="C14" s="18">
        <v>0</v>
      </c>
      <c r="D14" s="18">
        <v>0</v>
      </c>
      <c r="E14" s="18">
        <v>0</v>
      </c>
    </row>
    <row r="15" spans="1:5" x14ac:dyDescent="0.25">
      <c r="A15" s="18">
        <v>1963</v>
      </c>
      <c r="B15" s="18" t="s">
        <v>105</v>
      </c>
      <c r="C15" s="18">
        <v>0</v>
      </c>
      <c r="D15" s="18">
        <v>0</v>
      </c>
      <c r="E15" s="18">
        <v>0</v>
      </c>
    </row>
    <row r="16" spans="1:5" x14ac:dyDescent="0.25">
      <c r="A16" s="18">
        <v>1964</v>
      </c>
      <c r="B16" s="18" t="s">
        <v>105</v>
      </c>
      <c r="C16" s="18">
        <v>0</v>
      </c>
      <c r="D16" s="18">
        <v>0</v>
      </c>
      <c r="E16" s="18">
        <v>0</v>
      </c>
    </row>
    <row r="17" spans="1:5" x14ac:dyDescent="0.25">
      <c r="A17" s="18">
        <v>1965</v>
      </c>
      <c r="B17" s="18" t="s">
        <v>105</v>
      </c>
      <c r="C17" s="18">
        <v>0</v>
      </c>
      <c r="D17" s="18">
        <v>0</v>
      </c>
      <c r="E17" s="18">
        <v>0</v>
      </c>
    </row>
    <row r="18" spans="1:5" x14ac:dyDescent="0.25">
      <c r="A18" s="18">
        <v>1966</v>
      </c>
      <c r="B18" s="18" t="s">
        <v>105</v>
      </c>
      <c r="C18" s="18">
        <v>0</v>
      </c>
      <c r="D18" s="18">
        <v>0</v>
      </c>
      <c r="E18" s="18">
        <v>0</v>
      </c>
    </row>
    <row r="19" spans="1:5" x14ac:dyDescent="0.25">
      <c r="A19" s="18">
        <v>1967</v>
      </c>
      <c r="B19" s="18" t="s">
        <v>105</v>
      </c>
      <c r="C19" s="18">
        <v>0</v>
      </c>
      <c r="D19" s="18">
        <v>0</v>
      </c>
      <c r="E19" s="18">
        <v>0</v>
      </c>
    </row>
    <row r="20" spans="1:5" x14ac:dyDescent="0.25">
      <c r="A20" s="18">
        <v>1968</v>
      </c>
      <c r="B20" s="18" t="s">
        <v>105</v>
      </c>
      <c r="C20" s="18">
        <v>0</v>
      </c>
      <c r="D20" s="18">
        <v>0</v>
      </c>
      <c r="E20" s="18">
        <v>0</v>
      </c>
    </row>
    <row r="21" spans="1:5" x14ac:dyDescent="0.25">
      <c r="A21" s="18">
        <v>1969</v>
      </c>
      <c r="B21" s="18" t="s">
        <v>105</v>
      </c>
      <c r="C21" s="18">
        <v>0</v>
      </c>
      <c r="D21" s="18">
        <v>0</v>
      </c>
      <c r="E21" s="18">
        <v>0</v>
      </c>
    </row>
    <row r="22" spans="1:5" x14ac:dyDescent="0.25">
      <c r="A22" s="18">
        <v>1970</v>
      </c>
      <c r="B22" s="18" t="s">
        <v>105</v>
      </c>
      <c r="C22" s="18">
        <v>5792</v>
      </c>
      <c r="D22" s="18">
        <v>6449</v>
      </c>
      <c r="E22" s="18">
        <v>12241</v>
      </c>
    </row>
    <row r="23" spans="1:5" x14ac:dyDescent="0.25">
      <c r="A23" s="18">
        <v>1971</v>
      </c>
      <c r="B23" s="18" t="s">
        <v>105</v>
      </c>
      <c r="C23" s="18">
        <v>0</v>
      </c>
      <c r="D23" s="18">
        <v>0</v>
      </c>
      <c r="E23" s="18">
        <v>0</v>
      </c>
    </row>
    <row r="24" spans="1:5" x14ac:dyDescent="0.25">
      <c r="A24" s="18">
        <v>1972</v>
      </c>
      <c r="B24" s="18" t="s">
        <v>105</v>
      </c>
      <c r="C24" s="18">
        <v>0</v>
      </c>
      <c r="D24" s="18">
        <v>0</v>
      </c>
      <c r="E24" s="18">
        <v>0</v>
      </c>
    </row>
    <row r="25" spans="1:5" x14ac:dyDescent="0.25">
      <c r="A25" s="18">
        <v>1973</v>
      </c>
      <c r="B25" s="18" t="s">
        <v>105</v>
      </c>
      <c r="C25" s="18">
        <v>0</v>
      </c>
      <c r="D25" s="18">
        <v>0</v>
      </c>
      <c r="E25" s="18">
        <v>0</v>
      </c>
    </row>
    <row r="26" spans="1:5" x14ac:dyDescent="0.25">
      <c r="A26" s="18">
        <v>1974</v>
      </c>
      <c r="B26" s="18" t="s">
        <v>105</v>
      </c>
      <c r="C26" s="18">
        <v>0</v>
      </c>
      <c r="D26" s="18">
        <v>0</v>
      </c>
      <c r="E26" s="18">
        <v>0</v>
      </c>
    </row>
    <row r="27" spans="1:5" x14ac:dyDescent="0.25">
      <c r="A27" s="18">
        <v>1975</v>
      </c>
      <c r="B27" s="18" t="s">
        <v>105</v>
      </c>
      <c r="C27" s="18">
        <v>10313</v>
      </c>
      <c r="D27" s="18">
        <v>10555</v>
      </c>
      <c r="E27" s="18">
        <v>20869</v>
      </c>
    </row>
    <row r="28" spans="1:5" x14ac:dyDescent="0.25">
      <c r="A28" s="18">
        <v>1976</v>
      </c>
      <c r="B28" s="18" t="s">
        <v>105</v>
      </c>
      <c r="C28" s="18">
        <v>0</v>
      </c>
      <c r="D28" s="18">
        <v>0</v>
      </c>
      <c r="E28" s="18">
        <v>0</v>
      </c>
    </row>
    <row r="29" spans="1:5" x14ac:dyDescent="0.25">
      <c r="A29" s="18">
        <v>1977</v>
      </c>
      <c r="B29" s="18" t="s">
        <v>105</v>
      </c>
      <c r="C29" s="18">
        <v>0</v>
      </c>
      <c r="D29" s="18">
        <v>0</v>
      </c>
      <c r="E29" s="18">
        <v>0</v>
      </c>
    </row>
    <row r="30" spans="1:5" x14ac:dyDescent="0.25">
      <c r="A30" s="18">
        <v>1978</v>
      </c>
      <c r="B30" s="18" t="s">
        <v>105</v>
      </c>
      <c r="C30" s="18">
        <v>0</v>
      </c>
      <c r="D30" s="18">
        <v>0</v>
      </c>
      <c r="E30" s="18">
        <v>0</v>
      </c>
    </row>
    <row r="31" spans="1:5" x14ac:dyDescent="0.25">
      <c r="A31" s="18">
        <v>1979</v>
      </c>
      <c r="B31" s="18" t="s">
        <v>105</v>
      </c>
      <c r="C31" s="18">
        <v>0</v>
      </c>
      <c r="D31" s="18">
        <v>0</v>
      </c>
      <c r="E31" s="18">
        <v>0</v>
      </c>
    </row>
    <row r="32" spans="1:5" x14ac:dyDescent="0.25">
      <c r="A32" s="18">
        <v>1980</v>
      </c>
      <c r="B32" s="18" t="s">
        <v>105</v>
      </c>
      <c r="C32" s="18">
        <v>11523</v>
      </c>
      <c r="D32" s="18">
        <v>11875</v>
      </c>
      <c r="E32" s="18">
        <v>23398</v>
      </c>
    </row>
    <row r="33" spans="1:5" x14ac:dyDescent="0.25">
      <c r="A33" s="18">
        <v>1981</v>
      </c>
      <c r="B33" s="18" t="s">
        <v>105</v>
      </c>
      <c r="C33" s="18">
        <v>0</v>
      </c>
      <c r="D33" s="18">
        <v>0</v>
      </c>
      <c r="E33" s="18">
        <v>0</v>
      </c>
    </row>
    <row r="34" spans="1:5" x14ac:dyDescent="0.25">
      <c r="A34" s="18">
        <v>1982</v>
      </c>
      <c r="B34" s="18" t="s">
        <v>105</v>
      </c>
      <c r="C34" s="18">
        <v>0</v>
      </c>
      <c r="D34" s="18">
        <v>0</v>
      </c>
      <c r="E34" s="18">
        <v>0</v>
      </c>
    </row>
    <row r="35" spans="1:5" x14ac:dyDescent="0.25">
      <c r="A35" s="18">
        <v>1983</v>
      </c>
      <c r="B35" s="18" t="s">
        <v>105</v>
      </c>
      <c r="C35" s="18">
        <v>0</v>
      </c>
      <c r="D35" s="18">
        <v>0</v>
      </c>
      <c r="E35" s="18">
        <v>0</v>
      </c>
    </row>
    <row r="36" spans="1:5" x14ac:dyDescent="0.25">
      <c r="A36" s="18">
        <v>1984</v>
      </c>
      <c r="B36" s="18" t="s">
        <v>105</v>
      </c>
      <c r="C36" s="18">
        <v>0</v>
      </c>
      <c r="D36" s="18">
        <v>0</v>
      </c>
      <c r="E36" s="18">
        <v>0</v>
      </c>
    </row>
    <row r="37" spans="1:5" x14ac:dyDescent="0.25">
      <c r="A37" s="18">
        <v>1985</v>
      </c>
      <c r="B37" s="18" t="s">
        <v>105</v>
      </c>
      <c r="C37" s="18">
        <v>12865</v>
      </c>
      <c r="D37" s="18">
        <v>13327</v>
      </c>
      <c r="E37" s="18">
        <v>26192</v>
      </c>
    </row>
    <row r="38" spans="1:5" x14ac:dyDescent="0.25">
      <c r="A38" s="18">
        <v>1986</v>
      </c>
      <c r="B38" s="18" t="s">
        <v>105</v>
      </c>
      <c r="C38" s="18">
        <v>0</v>
      </c>
      <c r="D38" s="18">
        <v>0</v>
      </c>
      <c r="E38" s="18">
        <v>0</v>
      </c>
    </row>
    <row r="39" spans="1:5" x14ac:dyDescent="0.25">
      <c r="A39" s="18">
        <v>1987</v>
      </c>
      <c r="B39" s="18" t="s">
        <v>105</v>
      </c>
      <c r="C39" s="18">
        <v>0</v>
      </c>
      <c r="D39" s="18">
        <v>0</v>
      </c>
      <c r="E39" s="18">
        <v>0</v>
      </c>
    </row>
    <row r="40" spans="1:5" x14ac:dyDescent="0.25">
      <c r="A40" s="18">
        <v>1988</v>
      </c>
      <c r="B40" s="18" t="s">
        <v>105</v>
      </c>
      <c r="C40" s="18">
        <v>0</v>
      </c>
      <c r="D40" s="18">
        <v>0</v>
      </c>
      <c r="E40" s="18">
        <v>0</v>
      </c>
    </row>
    <row r="41" spans="1:5" x14ac:dyDescent="0.25">
      <c r="A41" s="18">
        <v>1989</v>
      </c>
      <c r="B41" s="18" t="s">
        <v>105</v>
      </c>
      <c r="C41" s="18">
        <v>0</v>
      </c>
      <c r="D41" s="18">
        <v>0</v>
      </c>
      <c r="E41" s="18">
        <v>0</v>
      </c>
    </row>
    <row r="42" spans="1:5" x14ac:dyDescent="0.25">
      <c r="A42" s="18">
        <v>1990</v>
      </c>
      <c r="B42" s="18" t="s">
        <v>105</v>
      </c>
      <c r="C42" s="18">
        <v>14071</v>
      </c>
      <c r="D42" s="18">
        <v>14697</v>
      </c>
      <c r="E42" s="18">
        <v>28768</v>
      </c>
    </row>
    <row r="43" spans="1:5" x14ac:dyDescent="0.25">
      <c r="A43" s="18">
        <v>1991</v>
      </c>
      <c r="B43" s="18" t="s">
        <v>105</v>
      </c>
      <c r="C43" s="18">
        <v>0</v>
      </c>
      <c r="D43" s="18">
        <v>0</v>
      </c>
      <c r="E43" s="18">
        <v>0</v>
      </c>
    </row>
    <row r="44" spans="1:5" x14ac:dyDescent="0.25">
      <c r="A44" s="18">
        <v>1992</v>
      </c>
      <c r="B44" s="18" t="s">
        <v>105</v>
      </c>
      <c r="C44" s="18">
        <v>0</v>
      </c>
      <c r="D44" s="18">
        <v>0</v>
      </c>
      <c r="E44" s="18">
        <v>0</v>
      </c>
    </row>
    <row r="45" spans="1:5" x14ac:dyDescent="0.25">
      <c r="A45" s="18">
        <v>1993</v>
      </c>
      <c r="B45" s="18" t="s">
        <v>105</v>
      </c>
      <c r="C45" s="18">
        <v>0</v>
      </c>
      <c r="D45" s="18">
        <v>0</v>
      </c>
      <c r="E45" s="18">
        <v>0</v>
      </c>
    </row>
    <row r="46" spans="1:5" x14ac:dyDescent="0.25">
      <c r="A46" s="18">
        <v>1994</v>
      </c>
      <c r="B46" s="18" t="s">
        <v>105</v>
      </c>
      <c r="C46" s="18">
        <v>0</v>
      </c>
      <c r="D46" s="18">
        <v>0</v>
      </c>
      <c r="E46" s="18">
        <v>0</v>
      </c>
    </row>
    <row r="47" spans="1:5" x14ac:dyDescent="0.25">
      <c r="A47" s="18">
        <v>1995</v>
      </c>
      <c r="B47" s="18" t="s">
        <v>105</v>
      </c>
      <c r="C47" s="18">
        <v>0</v>
      </c>
      <c r="D47" s="18">
        <v>0</v>
      </c>
      <c r="E47" s="18">
        <v>0</v>
      </c>
    </row>
    <row r="48" spans="1:5" x14ac:dyDescent="0.25">
      <c r="A48" s="18">
        <v>1996</v>
      </c>
      <c r="B48" s="18" t="s">
        <v>105</v>
      </c>
      <c r="C48" s="18">
        <v>0</v>
      </c>
      <c r="D48" s="18">
        <v>0</v>
      </c>
      <c r="E48" s="18">
        <v>0</v>
      </c>
    </row>
    <row r="49" spans="1:5" x14ac:dyDescent="0.25">
      <c r="A49" s="18">
        <v>1997</v>
      </c>
      <c r="B49" s="18" t="s">
        <v>105</v>
      </c>
      <c r="C49" s="18">
        <v>0</v>
      </c>
      <c r="D49" s="18">
        <v>0</v>
      </c>
      <c r="E49" s="18">
        <v>0</v>
      </c>
    </row>
    <row r="50" spans="1:5" x14ac:dyDescent="0.25">
      <c r="A50" s="18">
        <v>1998</v>
      </c>
      <c r="B50" s="18" t="s">
        <v>105</v>
      </c>
      <c r="C50" s="18">
        <v>0</v>
      </c>
      <c r="D50" s="18">
        <v>0</v>
      </c>
      <c r="E50" s="18">
        <v>0</v>
      </c>
    </row>
    <row r="51" spans="1:5" x14ac:dyDescent="0.25">
      <c r="A51" s="18">
        <v>1999</v>
      </c>
      <c r="B51" s="18" t="s">
        <v>105</v>
      </c>
      <c r="C51" s="18">
        <v>0</v>
      </c>
      <c r="D51" s="18">
        <v>0</v>
      </c>
      <c r="E51" s="18">
        <v>0</v>
      </c>
    </row>
    <row r="52" spans="1:5" x14ac:dyDescent="0.25">
      <c r="A52" s="18">
        <v>2000</v>
      </c>
      <c r="B52" s="18" t="s">
        <v>105</v>
      </c>
      <c r="C52" s="18">
        <v>13989</v>
      </c>
      <c r="D52" s="18">
        <v>14591</v>
      </c>
      <c r="E52" s="18">
        <v>28581</v>
      </c>
    </row>
    <row r="53" spans="1:5" x14ac:dyDescent="0.25">
      <c r="A53" s="18">
        <v>2001</v>
      </c>
      <c r="B53" s="18" t="s">
        <v>105</v>
      </c>
      <c r="C53" s="18">
        <v>0</v>
      </c>
      <c r="D53" s="18">
        <v>0</v>
      </c>
      <c r="E53" s="18">
        <v>0</v>
      </c>
    </row>
    <row r="54" spans="1:5" x14ac:dyDescent="0.25">
      <c r="A54" s="18">
        <v>2002</v>
      </c>
      <c r="B54" s="18" t="s">
        <v>105</v>
      </c>
      <c r="C54" s="18">
        <v>0</v>
      </c>
      <c r="D54" s="18">
        <v>0</v>
      </c>
      <c r="E54" s="18">
        <v>0</v>
      </c>
    </row>
    <row r="55" spans="1:5" x14ac:dyDescent="0.25">
      <c r="A55" s="18">
        <v>2003</v>
      </c>
      <c r="B55" s="18" t="s">
        <v>105</v>
      </c>
      <c r="C55" s="18">
        <v>0</v>
      </c>
      <c r="D55" s="18">
        <v>0</v>
      </c>
      <c r="E55" s="18">
        <v>0</v>
      </c>
    </row>
    <row r="56" spans="1:5" x14ac:dyDescent="0.25">
      <c r="A56" s="18">
        <v>2004</v>
      </c>
      <c r="B56" s="18" t="s">
        <v>105</v>
      </c>
      <c r="C56" s="18">
        <v>0</v>
      </c>
      <c r="D56" s="18">
        <v>0</v>
      </c>
      <c r="E56" s="18">
        <v>0</v>
      </c>
    </row>
    <row r="57" spans="1:5" x14ac:dyDescent="0.25">
      <c r="A57" s="18">
        <v>2005</v>
      </c>
      <c r="B57" s="18" t="s">
        <v>105</v>
      </c>
      <c r="C57" s="18">
        <v>0</v>
      </c>
      <c r="D57" s="18">
        <v>0</v>
      </c>
      <c r="E57" s="18">
        <v>0</v>
      </c>
    </row>
    <row r="58" spans="1:5" x14ac:dyDescent="0.25">
      <c r="A58" s="18">
        <v>2006</v>
      </c>
      <c r="B58" s="18" t="s">
        <v>105</v>
      </c>
      <c r="C58" s="18">
        <v>0</v>
      </c>
      <c r="D58" s="18">
        <v>0</v>
      </c>
      <c r="E58" s="18">
        <v>0</v>
      </c>
    </row>
    <row r="59" spans="1:5" x14ac:dyDescent="0.25">
      <c r="A59" s="18">
        <v>2007</v>
      </c>
      <c r="B59" s="18" t="s">
        <v>105</v>
      </c>
      <c r="C59" s="18">
        <v>0</v>
      </c>
      <c r="D59" s="18">
        <v>0</v>
      </c>
      <c r="E59" s="18">
        <v>0</v>
      </c>
    </row>
    <row r="60" spans="1:5" x14ac:dyDescent="0.25">
      <c r="A60" s="18">
        <v>2008</v>
      </c>
      <c r="B60" s="18" t="s">
        <v>105</v>
      </c>
      <c r="C60" s="18">
        <v>0</v>
      </c>
      <c r="D60" s="18">
        <v>0</v>
      </c>
      <c r="E60" s="18">
        <v>0</v>
      </c>
    </row>
    <row r="61" spans="1:5" x14ac:dyDescent="0.25">
      <c r="A61" s="18">
        <v>1950</v>
      </c>
      <c r="B61" s="18" t="s">
        <v>11</v>
      </c>
      <c r="C61" s="18">
        <v>0</v>
      </c>
      <c r="D61" s="18">
        <v>0</v>
      </c>
      <c r="E61" s="18">
        <v>0</v>
      </c>
    </row>
    <row r="62" spans="1:5" x14ac:dyDescent="0.25">
      <c r="A62" s="18">
        <v>1951</v>
      </c>
      <c r="B62" s="18" t="s">
        <v>11</v>
      </c>
      <c r="C62" s="18">
        <v>0</v>
      </c>
      <c r="D62" s="18">
        <v>0</v>
      </c>
      <c r="E62" s="18">
        <v>0</v>
      </c>
    </row>
    <row r="63" spans="1:5" x14ac:dyDescent="0.25">
      <c r="A63" s="18">
        <v>1952</v>
      </c>
      <c r="B63" s="18" t="s">
        <v>11</v>
      </c>
      <c r="C63" s="18">
        <v>0</v>
      </c>
      <c r="D63" s="18">
        <v>0</v>
      </c>
      <c r="E63" s="18">
        <v>0</v>
      </c>
    </row>
    <row r="64" spans="1:5" x14ac:dyDescent="0.25">
      <c r="A64" s="18">
        <v>1953</v>
      </c>
      <c r="B64" s="18" t="s">
        <v>11</v>
      </c>
      <c r="C64" s="18">
        <v>0</v>
      </c>
      <c r="D64" s="18">
        <v>0</v>
      </c>
      <c r="E64" s="18">
        <v>0</v>
      </c>
    </row>
    <row r="65" spans="1:5" x14ac:dyDescent="0.25">
      <c r="A65" s="18">
        <v>1954</v>
      </c>
      <c r="B65" s="18" t="s">
        <v>11</v>
      </c>
      <c r="C65" s="18">
        <v>0</v>
      </c>
      <c r="D65" s="18">
        <v>0</v>
      </c>
      <c r="E65" s="18">
        <v>0</v>
      </c>
    </row>
    <row r="66" spans="1:5" x14ac:dyDescent="0.25">
      <c r="A66" s="18">
        <v>1955</v>
      </c>
      <c r="B66" s="18" t="s">
        <v>11</v>
      </c>
      <c r="C66" s="18">
        <v>0</v>
      </c>
      <c r="D66" s="18">
        <v>0</v>
      </c>
      <c r="E66" s="18">
        <v>0</v>
      </c>
    </row>
    <row r="67" spans="1:5" x14ac:dyDescent="0.25">
      <c r="A67" s="18">
        <v>1956</v>
      </c>
      <c r="B67" s="18" t="s">
        <v>11</v>
      </c>
      <c r="C67" s="18">
        <v>0</v>
      </c>
      <c r="D67" s="18">
        <v>0</v>
      </c>
      <c r="E67" s="18">
        <v>0</v>
      </c>
    </row>
    <row r="68" spans="1:5" x14ac:dyDescent="0.25">
      <c r="A68" s="18">
        <v>1957</v>
      </c>
      <c r="B68" s="18" t="s">
        <v>11</v>
      </c>
      <c r="C68" s="18">
        <v>0</v>
      </c>
      <c r="D68" s="18">
        <v>0</v>
      </c>
      <c r="E68" s="18">
        <v>0</v>
      </c>
    </row>
    <row r="69" spans="1:5" x14ac:dyDescent="0.25">
      <c r="A69" s="18">
        <v>1958</v>
      </c>
      <c r="B69" s="18" t="s">
        <v>11</v>
      </c>
      <c r="C69" s="18">
        <v>0</v>
      </c>
      <c r="D69" s="18">
        <v>0</v>
      </c>
      <c r="E69" s="18">
        <v>0</v>
      </c>
    </row>
    <row r="70" spans="1:5" x14ac:dyDescent="0.25">
      <c r="A70" s="18">
        <v>1959</v>
      </c>
      <c r="B70" s="18" t="s">
        <v>11</v>
      </c>
      <c r="C70" s="18">
        <v>0</v>
      </c>
      <c r="D70" s="18">
        <v>0</v>
      </c>
      <c r="E70" s="18">
        <v>0</v>
      </c>
    </row>
    <row r="71" spans="1:5" x14ac:dyDescent="0.25">
      <c r="A71" s="18">
        <v>1960</v>
      </c>
      <c r="B71" s="18" t="s">
        <v>11</v>
      </c>
      <c r="C71" s="18">
        <v>0</v>
      </c>
      <c r="D71" s="18">
        <v>0</v>
      </c>
      <c r="E71" s="18">
        <v>0</v>
      </c>
    </row>
    <row r="72" spans="1:5" x14ac:dyDescent="0.25">
      <c r="A72" s="18">
        <v>1961</v>
      </c>
      <c r="B72" s="18" t="s">
        <v>11</v>
      </c>
      <c r="C72" s="18">
        <v>0</v>
      </c>
      <c r="D72" s="18">
        <v>0</v>
      </c>
      <c r="E72" s="18">
        <v>0</v>
      </c>
    </row>
    <row r="73" spans="1:5" x14ac:dyDescent="0.25">
      <c r="A73" s="18">
        <v>1962</v>
      </c>
      <c r="B73" s="18" t="s">
        <v>11</v>
      </c>
      <c r="C73" s="18">
        <v>0</v>
      </c>
      <c r="D73" s="18">
        <v>0</v>
      </c>
      <c r="E73" s="18">
        <v>0</v>
      </c>
    </row>
    <row r="74" spans="1:5" x14ac:dyDescent="0.25">
      <c r="A74" s="18">
        <v>1963</v>
      </c>
      <c r="B74" s="18" t="s">
        <v>11</v>
      </c>
      <c r="C74" s="18">
        <v>0</v>
      </c>
      <c r="D74" s="18">
        <v>0</v>
      </c>
      <c r="E74" s="18">
        <v>0</v>
      </c>
    </row>
    <row r="75" spans="1:5" x14ac:dyDescent="0.25">
      <c r="A75" s="18">
        <v>1964</v>
      </c>
      <c r="B75" s="18" t="s">
        <v>11</v>
      </c>
      <c r="C75" s="18">
        <v>0</v>
      </c>
      <c r="D75" s="18">
        <v>0</v>
      </c>
      <c r="E75" s="18">
        <v>0</v>
      </c>
    </row>
    <row r="76" spans="1:5" x14ac:dyDescent="0.25">
      <c r="A76" s="18">
        <v>1965</v>
      </c>
      <c r="B76" s="18" t="s">
        <v>11</v>
      </c>
      <c r="C76" s="18">
        <v>0</v>
      </c>
      <c r="D76" s="18">
        <v>0</v>
      </c>
      <c r="E76" s="18">
        <v>0</v>
      </c>
    </row>
    <row r="77" spans="1:5" x14ac:dyDescent="0.25">
      <c r="A77" s="18">
        <v>1966</v>
      </c>
      <c r="B77" s="18" t="s">
        <v>11</v>
      </c>
      <c r="C77" s="18">
        <v>0</v>
      </c>
      <c r="D77" s="18">
        <v>0</v>
      </c>
      <c r="E77" s="18">
        <v>0</v>
      </c>
    </row>
    <row r="78" spans="1:5" x14ac:dyDescent="0.25">
      <c r="A78" s="18">
        <v>1967</v>
      </c>
      <c r="B78" s="18" t="s">
        <v>11</v>
      </c>
      <c r="C78" s="18">
        <v>0</v>
      </c>
      <c r="D78" s="18">
        <v>0</v>
      </c>
      <c r="E78" s="18">
        <v>0</v>
      </c>
    </row>
    <row r="79" spans="1:5" x14ac:dyDescent="0.25">
      <c r="A79" s="18">
        <v>1968</v>
      </c>
      <c r="B79" s="18" t="s">
        <v>11</v>
      </c>
      <c r="C79" s="18">
        <v>0</v>
      </c>
      <c r="D79" s="18">
        <v>0</v>
      </c>
      <c r="E79" s="18">
        <v>0</v>
      </c>
    </row>
    <row r="80" spans="1:5" x14ac:dyDescent="0.25">
      <c r="A80" s="18">
        <v>1969</v>
      </c>
      <c r="B80" s="18" t="s">
        <v>11</v>
      </c>
      <c r="C80" s="18">
        <v>0</v>
      </c>
      <c r="D80" s="18">
        <v>0</v>
      </c>
      <c r="E80" s="18">
        <v>0</v>
      </c>
    </row>
    <row r="81" spans="1:5" x14ac:dyDescent="0.25">
      <c r="A81" s="18">
        <v>1970</v>
      </c>
      <c r="B81" s="18" t="s">
        <v>11</v>
      </c>
      <c r="C81" s="18">
        <v>0</v>
      </c>
      <c r="D81" s="18">
        <v>0</v>
      </c>
      <c r="E81" s="18">
        <v>0</v>
      </c>
    </row>
    <row r="82" spans="1:5" x14ac:dyDescent="0.25">
      <c r="A82" s="18">
        <v>1971</v>
      </c>
      <c r="B82" s="18" t="s">
        <v>11</v>
      </c>
      <c r="C82" s="18">
        <v>0</v>
      </c>
      <c r="D82" s="18">
        <v>0</v>
      </c>
      <c r="E82" s="18">
        <v>0</v>
      </c>
    </row>
    <row r="83" spans="1:5" x14ac:dyDescent="0.25">
      <c r="A83" s="18">
        <v>1972</v>
      </c>
      <c r="B83" s="18" t="s">
        <v>11</v>
      </c>
      <c r="C83" s="18">
        <v>0</v>
      </c>
      <c r="D83" s="18">
        <v>0</v>
      </c>
      <c r="E83" s="18">
        <v>0</v>
      </c>
    </row>
    <row r="84" spans="1:5" x14ac:dyDescent="0.25">
      <c r="A84" s="18">
        <v>1973</v>
      </c>
      <c r="B84" s="18" t="s">
        <v>11</v>
      </c>
      <c r="C84" s="18">
        <v>0</v>
      </c>
      <c r="D84" s="18">
        <v>0</v>
      </c>
      <c r="E84" s="18">
        <v>0</v>
      </c>
    </row>
    <row r="85" spans="1:5" x14ac:dyDescent="0.25">
      <c r="A85" s="18">
        <v>1974</v>
      </c>
      <c r="B85" s="18" t="s">
        <v>11</v>
      </c>
      <c r="C85" s="18">
        <v>0</v>
      </c>
      <c r="D85" s="18">
        <v>0</v>
      </c>
      <c r="E85" s="18">
        <v>0</v>
      </c>
    </row>
    <row r="86" spans="1:5" x14ac:dyDescent="0.25">
      <c r="A86" s="18">
        <v>1975</v>
      </c>
      <c r="B86" s="18" t="s">
        <v>11</v>
      </c>
      <c r="C86" s="18">
        <v>1157</v>
      </c>
      <c r="D86" s="18">
        <v>1349</v>
      </c>
      <c r="E86" s="18">
        <v>2506</v>
      </c>
    </row>
    <row r="87" spans="1:5" x14ac:dyDescent="0.25">
      <c r="A87" s="18">
        <v>1976</v>
      </c>
      <c r="B87" s="18" t="s">
        <v>11</v>
      </c>
      <c r="C87" s="18">
        <v>0</v>
      </c>
      <c r="D87" s="18">
        <v>0</v>
      </c>
      <c r="E87" s="18">
        <v>0</v>
      </c>
    </row>
    <row r="88" spans="1:5" x14ac:dyDescent="0.25">
      <c r="A88" s="18">
        <v>1977</v>
      </c>
      <c r="B88" s="18" t="s">
        <v>11</v>
      </c>
      <c r="C88" s="18">
        <v>0</v>
      </c>
      <c r="D88" s="18">
        <v>0</v>
      </c>
      <c r="E88" s="18">
        <v>0</v>
      </c>
    </row>
    <row r="89" spans="1:5" x14ac:dyDescent="0.25">
      <c r="A89" s="18">
        <v>1978</v>
      </c>
      <c r="B89" s="18" t="s">
        <v>11</v>
      </c>
      <c r="C89" s="18">
        <v>0</v>
      </c>
      <c r="D89" s="18">
        <v>0</v>
      </c>
      <c r="E89" s="18">
        <v>0</v>
      </c>
    </row>
    <row r="90" spans="1:5" x14ac:dyDescent="0.25">
      <c r="A90" s="18">
        <v>1979</v>
      </c>
      <c r="B90" s="18" t="s">
        <v>11</v>
      </c>
      <c r="C90" s="18">
        <v>0</v>
      </c>
      <c r="D90" s="18">
        <v>0</v>
      </c>
      <c r="E90" s="18">
        <v>0</v>
      </c>
    </row>
    <row r="91" spans="1:5" x14ac:dyDescent="0.25">
      <c r="A91" s="18">
        <v>1980</v>
      </c>
      <c r="B91" s="18" t="s">
        <v>11</v>
      </c>
      <c r="C91" s="18">
        <v>1381</v>
      </c>
      <c r="D91" s="18">
        <v>1462</v>
      </c>
      <c r="E91" s="18">
        <v>2843</v>
      </c>
    </row>
    <row r="92" spans="1:5" x14ac:dyDescent="0.25">
      <c r="A92" s="18">
        <v>1981</v>
      </c>
      <c r="B92" s="18" t="s">
        <v>11</v>
      </c>
      <c r="C92" s="18">
        <v>0</v>
      </c>
      <c r="D92" s="18">
        <v>0</v>
      </c>
      <c r="E92" s="18">
        <v>0</v>
      </c>
    </row>
    <row r="93" spans="1:5" x14ac:dyDescent="0.25">
      <c r="A93" s="18">
        <v>1982</v>
      </c>
      <c r="B93" s="18" t="s">
        <v>11</v>
      </c>
      <c r="C93" s="18">
        <v>0</v>
      </c>
      <c r="D93" s="18">
        <v>0</v>
      </c>
      <c r="E93" s="18">
        <v>0</v>
      </c>
    </row>
    <row r="94" spans="1:5" x14ac:dyDescent="0.25">
      <c r="A94" s="18">
        <v>1983</v>
      </c>
      <c r="B94" s="18" t="s">
        <v>11</v>
      </c>
      <c r="C94" s="18">
        <v>0</v>
      </c>
      <c r="D94" s="18">
        <v>0</v>
      </c>
      <c r="E94" s="18">
        <v>0</v>
      </c>
    </row>
    <row r="95" spans="1:5" x14ac:dyDescent="0.25">
      <c r="A95" s="18">
        <v>1984</v>
      </c>
      <c r="B95" s="18" t="s">
        <v>11</v>
      </c>
      <c r="C95" s="18">
        <v>0</v>
      </c>
      <c r="D95" s="18">
        <v>0</v>
      </c>
      <c r="E95" s="18">
        <v>0</v>
      </c>
    </row>
    <row r="96" spans="1:5" x14ac:dyDescent="0.25">
      <c r="A96" s="18">
        <v>1985</v>
      </c>
      <c r="B96" s="18" t="s">
        <v>11</v>
      </c>
      <c r="C96" s="18">
        <v>1206</v>
      </c>
      <c r="D96" s="18">
        <v>1290</v>
      </c>
      <c r="E96" s="18">
        <v>2496</v>
      </c>
    </row>
    <row r="97" spans="1:5" x14ac:dyDescent="0.25">
      <c r="A97" s="18">
        <v>1986</v>
      </c>
      <c r="B97" s="18" t="s">
        <v>11</v>
      </c>
      <c r="C97" s="18">
        <v>0</v>
      </c>
      <c r="D97" s="18">
        <v>0</v>
      </c>
      <c r="E97" s="18">
        <v>0</v>
      </c>
    </row>
    <row r="98" spans="1:5" x14ac:dyDescent="0.25">
      <c r="A98" s="18">
        <v>1987</v>
      </c>
      <c r="B98" s="18" t="s">
        <v>11</v>
      </c>
      <c r="C98" s="18">
        <v>0</v>
      </c>
      <c r="D98" s="18">
        <v>0</v>
      </c>
      <c r="E98" s="18">
        <v>0</v>
      </c>
    </row>
    <row r="99" spans="1:5" x14ac:dyDescent="0.25">
      <c r="A99" s="18">
        <v>1988</v>
      </c>
      <c r="B99" s="18" t="s">
        <v>11</v>
      </c>
      <c r="C99" s="18">
        <v>0</v>
      </c>
      <c r="D99" s="18">
        <v>0</v>
      </c>
      <c r="E99" s="18">
        <v>0</v>
      </c>
    </row>
    <row r="100" spans="1:5" x14ac:dyDescent="0.25">
      <c r="A100" s="18">
        <v>1989</v>
      </c>
      <c r="B100" s="18" t="s">
        <v>11</v>
      </c>
      <c r="C100" s="18">
        <v>0</v>
      </c>
      <c r="D100" s="18">
        <v>0</v>
      </c>
      <c r="E100" s="18">
        <v>0</v>
      </c>
    </row>
    <row r="101" spans="1:5" x14ac:dyDescent="0.25">
      <c r="A101" s="18">
        <v>1990</v>
      </c>
      <c r="B101" s="18" t="s">
        <v>11</v>
      </c>
      <c r="C101" s="18">
        <v>1300</v>
      </c>
      <c r="D101" s="18">
        <v>1380</v>
      </c>
      <c r="E101" s="18">
        <v>2680</v>
      </c>
    </row>
    <row r="102" spans="1:5" x14ac:dyDescent="0.25">
      <c r="A102" s="18">
        <v>1991</v>
      </c>
      <c r="B102" s="18" t="s">
        <v>11</v>
      </c>
      <c r="C102" s="18">
        <v>0</v>
      </c>
      <c r="D102" s="18">
        <v>0</v>
      </c>
      <c r="E102" s="18">
        <v>0</v>
      </c>
    </row>
    <row r="103" spans="1:5" x14ac:dyDescent="0.25">
      <c r="A103" s="18">
        <v>1992</v>
      </c>
      <c r="B103" s="18" t="s">
        <v>11</v>
      </c>
      <c r="C103" s="18">
        <v>0</v>
      </c>
      <c r="D103" s="18">
        <v>0</v>
      </c>
      <c r="E103" s="18">
        <v>0</v>
      </c>
    </row>
    <row r="104" spans="1:5" x14ac:dyDescent="0.25">
      <c r="A104" s="18">
        <v>1993</v>
      </c>
      <c r="B104" s="18" t="s">
        <v>11</v>
      </c>
      <c r="C104" s="18">
        <v>0</v>
      </c>
      <c r="D104" s="18">
        <v>0</v>
      </c>
      <c r="E104" s="18">
        <v>0</v>
      </c>
    </row>
    <row r="105" spans="1:5" x14ac:dyDescent="0.25">
      <c r="A105" s="18">
        <v>1994</v>
      </c>
      <c r="B105" s="18" t="s">
        <v>11</v>
      </c>
      <c r="C105" s="18">
        <v>0</v>
      </c>
      <c r="D105" s="18">
        <v>0</v>
      </c>
      <c r="E105" s="18">
        <v>0</v>
      </c>
    </row>
    <row r="106" spans="1:5" x14ac:dyDescent="0.25">
      <c r="A106" s="18">
        <v>1995</v>
      </c>
      <c r="B106" s="18" t="s">
        <v>11</v>
      </c>
      <c r="C106" s="18">
        <v>0</v>
      </c>
      <c r="D106" s="18">
        <v>0</v>
      </c>
      <c r="E106" s="18">
        <v>0</v>
      </c>
    </row>
    <row r="107" spans="1:5" x14ac:dyDescent="0.25">
      <c r="A107" s="18">
        <v>1996</v>
      </c>
      <c r="B107" s="18" t="s">
        <v>11</v>
      </c>
      <c r="C107" s="18">
        <v>0</v>
      </c>
      <c r="D107" s="18">
        <v>0</v>
      </c>
      <c r="E107" s="18">
        <v>0</v>
      </c>
    </row>
    <row r="108" spans="1:5" x14ac:dyDescent="0.25">
      <c r="A108" s="18">
        <v>1997</v>
      </c>
      <c r="B108" s="18" t="s">
        <v>11</v>
      </c>
      <c r="C108" s="18">
        <v>0</v>
      </c>
      <c r="D108" s="18">
        <v>0</v>
      </c>
      <c r="E108" s="18">
        <v>0</v>
      </c>
    </row>
    <row r="109" spans="1:5" x14ac:dyDescent="0.25">
      <c r="A109" s="18">
        <v>1998</v>
      </c>
      <c r="B109" s="18" t="s">
        <v>11</v>
      </c>
      <c r="C109" s="18">
        <v>0</v>
      </c>
      <c r="D109" s="18">
        <v>0</v>
      </c>
      <c r="E109" s="18">
        <v>0</v>
      </c>
    </row>
    <row r="110" spans="1:5" x14ac:dyDescent="0.25">
      <c r="A110" s="18">
        <v>1999</v>
      </c>
      <c r="B110" s="18" t="s">
        <v>11</v>
      </c>
      <c r="C110" s="18">
        <v>0</v>
      </c>
      <c r="D110" s="18">
        <v>0</v>
      </c>
      <c r="E110" s="18">
        <v>0</v>
      </c>
    </row>
    <row r="111" spans="1:5" x14ac:dyDescent="0.25">
      <c r="A111" s="18">
        <v>2000</v>
      </c>
      <c r="B111" s="18" t="s">
        <v>11</v>
      </c>
      <c r="C111" s="18">
        <v>1502</v>
      </c>
      <c r="D111" s="18">
        <v>1624</v>
      </c>
      <c r="E111" s="18">
        <v>3126</v>
      </c>
    </row>
    <row r="112" spans="1:5" x14ac:dyDescent="0.25">
      <c r="A112" s="18">
        <v>2001</v>
      </c>
      <c r="B112" s="18" t="s">
        <v>11</v>
      </c>
      <c r="C112" s="18">
        <v>0</v>
      </c>
      <c r="D112" s="18">
        <v>0</v>
      </c>
      <c r="E112" s="18">
        <v>0</v>
      </c>
    </row>
    <row r="113" spans="1:5" x14ac:dyDescent="0.25">
      <c r="A113" s="18">
        <v>2002</v>
      </c>
      <c r="B113" s="18" t="s">
        <v>11</v>
      </c>
      <c r="C113" s="18">
        <v>0</v>
      </c>
      <c r="D113" s="18">
        <v>0</v>
      </c>
      <c r="E113" s="18">
        <v>0</v>
      </c>
    </row>
    <row r="114" spans="1:5" x14ac:dyDescent="0.25">
      <c r="A114" s="18">
        <v>2003</v>
      </c>
      <c r="B114" s="18" t="s">
        <v>11</v>
      </c>
      <c r="C114" s="18">
        <v>0</v>
      </c>
      <c r="D114" s="18">
        <v>0</v>
      </c>
      <c r="E114" s="18">
        <v>0</v>
      </c>
    </row>
    <row r="115" spans="1:5" x14ac:dyDescent="0.25">
      <c r="A115" s="18">
        <v>2004</v>
      </c>
      <c r="B115" s="18" t="s">
        <v>11</v>
      </c>
      <c r="C115" s="18">
        <v>0</v>
      </c>
      <c r="D115" s="18">
        <v>0</v>
      </c>
      <c r="E115" s="18">
        <v>0</v>
      </c>
    </row>
    <row r="116" spans="1:5" x14ac:dyDescent="0.25">
      <c r="A116" s="18">
        <v>2005</v>
      </c>
      <c r="B116" s="18" t="s">
        <v>11</v>
      </c>
      <c r="C116" s="18">
        <v>0</v>
      </c>
      <c r="D116" s="18">
        <v>0</v>
      </c>
      <c r="E116" s="18">
        <v>0</v>
      </c>
    </row>
    <row r="117" spans="1:5" x14ac:dyDescent="0.25">
      <c r="A117" s="18">
        <v>2006</v>
      </c>
      <c r="B117" s="18" t="s">
        <v>11</v>
      </c>
      <c r="C117" s="18">
        <v>0</v>
      </c>
      <c r="D117" s="18">
        <v>0</v>
      </c>
      <c r="E117" s="18">
        <v>0</v>
      </c>
    </row>
    <row r="118" spans="1:5" x14ac:dyDescent="0.25">
      <c r="A118" s="18">
        <v>2007</v>
      </c>
      <c r="B118" s="18" t="s">
        <v>11</v>
      </c>
      <c r="C118" s="18">
        <v>0</v>
      </c>
      <c r="D118" s="18">
        <v>0</v>
      </c>
      <c r="E118" s="18">
        <v>0</v>
      </c>
    </row>
    <row r="119" spans="1:5" x14ac:dyDescent="0.25">
      <c r="A119" s="18">
        <v>2008</v>
      </c>
      <c r="B119" s="18" t="s">
        <v>11</v>
      </c>
      <c r="C119" s="18">
        <v>0</v>
      </c>
      <c r="D119" s="18">
        <v>0</v>
      </c>
      <c r="E119" s="18">
        <v>0</v>
      </c>
    </row>
    <row r="120" spans="1:5" x14ac:dyDescent="0.25">
      <c r="A120" s="18">
        <v>1931</v>
      </c>
      <c r="C120" s="18">
        <v>0</v>
      </c>
      <c r="D120" s="18">
        <v>0</v>
      </c>
      <c r="E120" s="18">
        <v>0</v>
      </c>
    </row>
    <row r="121" spans="1:5" x14ac:dyDescent="0.25">
      <c r="A121" s="18">
        <v>1932</v>
      </c>
      <c r="C121" s="18">
        <v>0</v>
      </c>
      <c r="D121" s="18">
        <v>0</v>
      </c>
      <c r="E121" s="18">
        <v>0</v>
      </c>
    </row>
    <row r="122" spans="1:5" x14ac:dyDescent="0.25">
      <c r="A122" s="18">
        <v>1933</v>
      </c>
      <c r="C122" s="18">
        <v>0</v>
      </c>
      <c r="D122" s="18">
        <v>0</v>
      </c>
      <c r="E122" s="18">
        <v>0</v>
      </c>
    </row>
    <row r="123" spans="1:5" x14ac:dyDescent="0.25">
      <c r="A123" s="18">
        <v>1934</v>
      </c>
      <c r="C123" s="18">
        <v>0</v>
      </c>
      <c r="D123" s="18">
        <v>0</v>
      </c>
      <c r="E123" s="18">
        <v>0</v>
      </c>
    </row>
    <row r="124" spans="1:5" x14ac:dyDescent="0.25">
      <c r="A124" s="18">
        <v>1935</v>
      </c>
      <c r="C124" s="18">
        <v>0</v>
      </c>
      <c r="D124" s="18">
        <v>0</v>
      </c>
      <c r="E124" s="18">
        <v>0</v>
      </c>
    </row>
    <row r="125" spans="1:5" x14ac:dyDescent="0.25">
      <c r="A125" s="18">
        <v>1936</v>
      </c>
      <c r="C125" s="18">
        <v>0</v>
      </c>
      <c r="D125" s="18">
        <v>0</v>
      </c>
      <c r="E125" s="18">
        <v>0</v>
      </c>
    </row>
    <row r="126" spans="1:5" x14ac:dyDescent="0.25">
      <c r="A126" s="18">
        <v>1937</v>
      </c>
      <c r="C126" s="18">
        <v>0</v>
      </c>
      <c r="D126" s="18">
        <v>0</v>
      </c>
      <c r="E126" s="18">
        <v>0</v>
      </c>
    </row>
    <row r="127" spans="1:5" x14ac:dyDescent="0.25">
      <c r="A127" s="18">
        <v>1938</v>
      </c>
      <c r="C127" s="18">
        <v>0</v>
      </c>
      <c r="D127" s="18">
        <v>0</v>
      </c>
      <c r="E127" s="18">
        <v>0</v>
      </c>
    </row>
    <row r="128" spans="1:5" x14ac:dyDescent="0.25">
      <c r="A128" s="18">
        <v>1939</v>
      </c>
      <c r="C128" s="18">
        <v>0</v>
      </c>
      <c r="D128" s="18">
        <v>0</v>
      </c>
      <c r="E128" s="18">
        <v>0</v>
      </c>
    </row>
    <row r="129" spans="1:5" x14ac:dyDescent="0.25">
      <c r="A129" s="18">
        <v>1940</v>
      </c>
      <c r="C129" s="18">
        <v>0</v>
      </c>
      <c r="D129" s="18">
        <v>0</v>
      </c>
      <c r="E129" s="18">
        <v>0</v>
      </c>
    </row>
    <row r="130" spans="1:5" x14ac:dyDescent="0.25">
      <c r="A130" s="18">
        <v>1941</v>
      </c>
      <c r="C130" s="18">
        <v>0</v>
      </c>
      <c r="D130" s="18">
        <v>0</v>
      </c>
      <c r="E130" s="18">
        <v>0</v>
      </c>
    </row>
    <row r="131" spans="1:5" x14ac:dyDescent="0.25">
      <c r="A131" s="18">
        <v>1942</v>
      </c>
      <c r="C131" s="18">
        <v>0</v>
      </c>
      <c r="D131" s="18">
        <v>0</v>
      </c>
      <c r="E131" s="18">
        <v>0</v>
      </c>
    </row>
    <row r="132" spans="1:5" x14ac:dyDescent="0.25">
      <c r="A132" s="18">
        <v>1943</v>
      </c>
      <c r="C132" s="18">
        <v>0</v>
      </c>
      <c r="D132" s="18">
        <v>0</v>
      </c>
      <c r="E132" s="18">
        <v>0</v>
      </c>
    </row>
    <row r="133" spans="1:5" x14ac:dyDescent="0.25">
      <c r="A133" s="18">
        <v>1944</v>
      </c>
      <c r="C133" s="18">
        <v>0</v>
      </c>
      <c r="D133" s="18">
        <v>0</v>
      </c>
      <c r="E133" s="18">
        <v>0</v>
      </c>
    </row>
    <row r="134" spans="1:5" x14ac:dyDescent="0.25">
      <c r="A134" s="18">
        <v>1945</v>
      </c>
      <c r="C134" s="18">
        <v>0</v>
      </c>
      <c r="D134" s="18">
        <v>0</v>
      </c>
      <c r="E134" s="18">
        <v>0</v>
      </c>
    </row>
    <row r="135" spans="1:5" x14ac:dyDescent="0.25">
      <c r="A135" s="18">
        <v>1946</v>
      </c>
      <c r="C135" s="18">
        <v>0</v>
      </c>
      <c r="D135" s="18">
        <v>0</v>
      </c>
      <c r="E135" s="18">
        <v>0</v>
      </c>
    </row>
    <row r="136" spans="1:5" x14ac:dyDescent="0.25">
      <c r="A136" s="18">
        <v>1947</v>
      </c>
      <c r="C136" s="18">
        <v>0</v>
      </c>
      <c r="D136" s="18">
        <v>0</v>
      </c>
      <c r="E136" s="18">
        <v>0</v>
      </c>
    </row>
    <row r="137" spans="1:5" x14ac:dyDescent="0.25">
      <c r="A137" s="18">
        <v>1948</v>
      </c>
      <c r="C137" s="18">
        <v>0</v>
      </c>
      <c r="D137" s="18">
        <v>0</v>
      </c>
      <c r="E137" s="18">
        <v>0</v>
      </c>
    </row>
    <row r="138" spans="1:5" x14ac:dyDescent="0.25">
      <c r="A138" s="18">
        <v>1949</v>
      </c>
      <c r="C138" s="18">
        <v>0</v>
      </c>
      <c r="D138" s="18">
        <v>0</v>
      </c>
      <c r="E138" s="18">
        <v>0</v>
      </c>
    </row>
    <row r="139" spans="1:5" x14ac:dyDescent="0.25">
      <c r="A139" s="18">
        <v>1950</v>
      </c>
      <c r="B139" s="18" t="s">
        <v>14</v>
      </c>
      <c r="C139" s="18">
        <v>0</v>
      </c>
      <c r="D139" s="18">
        <v>0</v>
      </c>
      <c r="E139" s="18">
        <v>0</v>
      </c>
    </row>
    <row r="140" spans="1:5" x14ac:dyDescent="0.25">
      <c r="A140" s="18">
        <v>1951</v>
      </c>
      <c r="B140" s="18" t="s">
        <v>14</v>
      </c>
      <c r="C140" s="18">
        <v>0</v>
      </c>
      <c r="D140" s="18">
        <v>0</v>
      </c>
      <c r="E140" s="18">
        <v>0</v>
      </c>
    </row>
    <row r="141" spans="1:5" x14ac:dyDescent="0.25">
      <c r="A141" s="18">
        <v>1952</v>
      </c>
      <c r="B141" s="18" t="s">
        <v>14</v>
      </c>
      <c r="C141" s="18">
        <v>0</v>
      </c>
      <c r="D141" s="18">
        <v>0</v>
      </c>
      <c r="E141" s="18">
        <v>0</v>
      </c>
    </row>
    <row r="142" spans="1:5" x14ac:dyDescent="0.25">
      <c r="A142" s="18">
        <v>1953</v>
      </c>
      <c r="B142" s="18" t="s">
        <v>14</v>
      </c>
      <c r="C142" s="18">
        <v>0</v>
      </c>
      <c r="D142" s="18">
        <v>0</v>
      </c>
      <c r="E142" s="18">
        <v>0</v>
      </c>
    </row>
    <row r="143" spans="1:5" x14ac:dyDescent="0.25">
      <c r="A143" s="18">
        <v>1954</v>
      </c>
      <c r="B143" s="18" t="s">
        <v>14</v>
      </c>
      <c r="C143" s="18">
        <v>0</v>
      </c>
      <c r="D143" s="18">
        <v>0</v>
      </c>
      <c r="E143" s="18">
        <v>0</v>
      </c>
    </row>
    <row r="144" spans="1:5" x14ac:dyDescent="0.25">
      <c r="A144" s="18">
        <v>1955</v>
      </c>
      <c r="B144" s="18" t="s">
        <v>14</v>
      </c>
      <c r="C144" s="18">
        <v>0</v>
      </c>
      <c r="D144" s="18">
        <v>0</v>
      </c>
      <c r="E144" s="18">
        <v>0</v>
      </c>
    </row>
    <row r="145" spans="1:5" x14ac:dyDescent="0.25">
      <c r="A145" s="18">
        <v>1956</v>
      </c>
      <c r="B145" s="18" t="s">
        <v>14</v>
      </c>
      <c r="C145" s="18">
        <v>0</v>
      </c>
      <c r="D145" s="18">
        <v>0</v>
      </c>
      <c r="E145" s="18">
        <v>0</v>
      </c>
    </row>
    <row r="146" spans="1:5" x14ac:dyDescent="0.25">
      <c r="A146" s="18">
        <v>1957</v>
      </c>
      <c r="B146" s="18" t="s">
        <v>14</v>
      </c>
      <c r="C146" s="18">
        <v>0</v>
      </c>
      <c r="D146" s="18">
        <v>0</v>
      </c>
      <c r="E146" s="18">
        <v>0</v>
      </c>
    </row>
    <row r="147" spans="1:5" x14ac:dyDescent="0.25">
      <c r="A147" s="18">
        <v>1958</v>
      </c>
      <c r="B147" s="18" t="s">
        <v>14</v>
      </c>
      <c r="C147" s="18">
        <v>0</v>
      </c>
      <c r="D147" s="18">
        <v>0</v>
      </c>
      <c r="E147" s="18">
        <v>0</v>
      </c>
    </row>
    <row r="148" spans="1:5" x14ac:dyDescent="0.25">
      <c r="A148" s="18">
        <v>1959</v>
      </c>
      <c r="B148" s="18" t="s">
        <v>14</v>
      </c>
      <c r="C148" s="18">
        <v>0</v>
      </c>
      <c r="D148" s="18">
        <v>0</v>
      </c>
      <c r="E148" s="18">
        <v>0</v>
      </c>
    </row>
    <row r="149" spans="1:5" x14ac:dyDescent="0.25">
      <c r="A149" s="18">
        <v>1960</v>
      </c>
      <c r="B149" s="18" t="s">
        <v>14</v>
      </c>
      <c r="C149" s="18">
        <v>0</v>
      </c>
      <c r="D149" s="18">
        <v>0</v>
      </c>
      <c r="E149" s="18">
        <v>0</v>
      </c>
    </row>
    <row r="150" spans="1:5" x14ac:dyDescent="0.25">
      <c r="A150" s="18">
        <v>1961</v>
      </c>
      <c r="B150" s="18" t="s">
        <v>14</v>
      </c>
      <c r="C150" s="18">
        <v>0</v>
      </c>
      <c r="D150" s="18">
        <v>0</v>
      </c>
      <c r="E150" s="18">
        <v>0</v>
      </c>
    </row>
    <row r="151" spans="1:5" x14ac:dyDescent="0.25">
      <c r="A151" s="18">
        <v>1962</v>
      </c>
      <c r="B151" s="18" t="s">
        <v>14</v>
      </c>
      <c r="C151" s="18">
        <v>0</v>
      </c>
      <c r="D151" s="18">
        <v>0</v>
      </c>
      <c r="E151" s="18">
        <v>0</v>
      </c>
    </row>
    <row r="152" spans="1:5" x14ac:dyDescent="0.25">
      <c r="A152" s="18">
        <v>1963</v>
      </c>
      <c r="B152" s="18" t="s">
        <v>14</v>
      </c>
      <c r="C152" s="18">
        <v>0</v>
      </c>
      <c r="D152" s="18">
        <v>0</v>
      </c>
      <c r="E152" s="18">
        <v>0</v>
      </c>
    </row>
    <row r="153" spans="1:5" x14ac:dyDescent="0.25">
      <c r="A153" s="18">
        <v>1964</v>
      </c>
      <c r="B153" s="18" t="s">
        <v>14</v>
      </c>
      <c r="C153" s="18">
        <v>0</v>
      </c>
      <c r="D153" s="18">
        <v>0</v>
      </c>
      <c r="E153" s="18">
        <v>0</v>
      </c>
    </row>
    <row r="154" spans="1:5" x14ac:dyDescent="0.25">
      <c r="A154" s="18">
        <v>1965</v>
      </c>
      <c r="B154" s="18" t="s">
        <v>14</v>
      </c>
      <c r="C154" s="18">
        <v>0</v>
      </c>
      <c r="D154" s="18">
        <v>0</v>
      </c>
      <c r="E154" s="18">
        <v>0</v>
      </c>
    </row>
    <row r="155" spans="1:5" x14ac:dyDescent="0.25">
      <c r="A155" s="18">
        <v>1966</v>
      </c>
      <c r="B155" s="18" t="s">
        <v>14</v>
      </c>
      <c r="C155" s="18">
        <v>0</v>
      </c>
      <c r="D155" s="18">
        <v>0</v>
      </c>
      <c r="E155" s="18">
        <v>0</v>
      </c>
    </row>
    <row r="156" spans="1:5" x14ac:dyDescent="0.25">
      <c r="A156" s="18">
        <v>1967</v>
      </c>
      <c r="B156" s="18" t="s">
        <v>14</v>
      </c>
      <c r="C156" s="18">
        <v>0</v>
      </c>
      <c r="D156" s="18">
        <v>0</v>
      </c>
      <c r="E156" s="18">
        <v>0</v>
      </c>
    </row>
    <row r="157" spans="1:5" x14ac:dyDescent="0.25">
      <c r="A157" s="18">
        <v>1968</v>
      </c>
      <c r="B157" s="18" t="s">
        <v>14</v>
      </c>
      <c r="C157" s="18">
        <v>0</v>
      </c>
      <c r="D157" s="18">
        <v>0</v>
      </c>
      <c r="E157" s="18">
        <v>0</v>
      </c>
    </row>
    <row r="158" spans="1:5" x14ac:dyDescent="0.25">
      <c r="A158" s="18">
        <v>1969</v>
      </c>
      <c r="B158" s="18" t="s">
        <v>14</v>
      </c>
      <c r="C158" s="18">
        <v>0</v>
      </c>
      <c r="D158" s="18">
        <v>0</v>
      </c>
      <c r="E158" s="18">
        <v>0</v>
      </c>
    </row>
    <row r="159" spans="1:5" x14ac:dyDescent="0.25">
      <c r="A159" s="18">
        <v>1970</v>
      </c>
      <c r="B159" s="18" t="s">
        <v>14</v>
      </c>
      <c r="C159" s="18">
        <v>0</v>
      </c>
      <c r="D159" s="18">
        <v>0</v>
      </c>
      <c r="E159" s="18">
        <v>0</v>
      </c>
    </row>
    <row r="160" spans="1:5" x14ac:dyDescent="0.25">
      <c r="A160" s="18">
        <v>1971</v>
      </c>
      <c r="B160" s="18" t="s">
        <v>14</v>
      </c>
      <c r="C160" s="18">
        <v>0</v>
      </c>
      <c r="D160" s="18">
        <v>0</v>
      </c>
      <c r="E160" s="18">
        <v>0</v>
      </c>
    </row>
    <row r="161" spans="1:5" x14ac:dyDescent="0.25">
      <c r="A161" s="18">
        <v>1972</v>
      </c>
      <c r="B161" s="18" t="s">
        <v>14</v>
      </c>
      <c r="C161" s="18">
        <v>0</v>
      </c>
      <c r="D161" s="18">
        <v>0</v>
      </c>
      <c r="E161" s="18">
        <v>0</v>
      </c>
    </row>
    <row r="162" spans="1:5" x14ac:dyDescent="0.25">
      <c r="A162" s="18">
        <v>1973</v>
      </c>
      <c r="B162" s="18" t="s">
        <v>14</v>
      </c>
      <c r="C162" s="18">
        <v>0</v>
      </c>
      <c r="D162" s="18">
        <v>0</v>
      </c>
      <c r="E162" s="18">
        <v>0</v>
      </c>
    </row>
    <row r="163" spans="1:5" x14ac:dyDescent="0.25">
      <c r="A163" s="18">
        <v>1974</v>
      </c>
      <c r="B163" s="18" t="s">
        <v>14</v>
      </c>
      <c r="C163" s="18">
        <v>0</v>
      </c>
      <c r="D163" s="18">
        <v>0</v>
      </c>
      <c r="E163" s="18">
        <v>0</v>
      </c>
    </row>
    <row r="164" spans="1:5" x14ac:dyDescent="0.25">
      <c r="A164" s="18">
        <v>1975</v>
      </c>
      <c r="B164" s="18" t="s">
        <v>14</v>
      </c>
      <c r="C164" s="18">
        <v>509</v>
      </c>
      <c r="D164" s="18">
        <v>478</v>
      </c>
      <c r="E164" s="18">
        <v>986</v>
      </c>
    </row>
    <row r="165" spans="1:5" x14ac:dyDescent="0.25">
      <c r="A165" s="18">
        <v>1976</v>
      </c>
      <c r="B165" s="18" t="s">
        <v>14</v>
      </c>
      <c r="C165" s="18">
        <v>0</v>
      </c>
      <c r="D165" s="18">
        <v>0</v>
      </c>
      <c r="E165" s="18">
        <v>0</v>
      </c>
    </row>
    <row r="166" spans="1:5" x14ac:dyDescent="0.25">
      <c r="A166" s="18">
        <v>1977</v>
      </c>
      <c r="B166" s="18" t="s">
        <v>14</v>
      </c>
      <c r="C166" s="18">
        <v>0</v>
      </c>
      <c r="D166" s="18">
        <v>0</v>
      </c>
      <c r="E166" s="18">
        <v>0</v>
      </c>
    </row>
    <row r="167" spans="1:5" x14ac:dyDescent="0.25">
      <c r="A167" s="18">
        <v>1978</v>
      </c>
      <c r="B167" s="18" t="s">
        <v>14</v>
      </c>
      <c r="C167" s="18">
        <v>0</v>
      </c>
      <c r="D167" s="18">
        <v>0</v>
      </c>
      <c r="E167" s="18">
        <v>0</v>
      </c>
    </row>
    <row r="168" spans="1:5" x14ac:dyDescent="0.25">
      <c r="A168" s="18">
        <v>1979</v>
      </c>
      <c r="B168" s="18" t="s">
        <v>14</v>
      </c>
      <c r="C168" s="18">
        <v>0</v>
      </c>
      <c r="D168" s="18">
        <v>0</v>
      </c>
      <c r="E168" s="18">
        <v>0</v>
      </c>
    </row>
    <row r="169" spans="1:5" x14ac:dyDescent="0.25">
      <c r="A169" s="18">
        <v>1980</v>
      </c>
      <c r="B169" s="18" t="s">
        <v>14</v>
      </c>
      <c r="C169" s="18">
        <v>433</v>
      </c>
      <c r="D169" s="18">
        <v>478</v>
      </c>
      <c r="E169" s="18">
        <v>912</v>
      </c>
    </row>
    <row r="170" spans="1:5" x14ac:dyDescent="0.25">
      <c r="A170" s="18">
        <v>1981</v>
      </c>
      <c r="B170" s="18" t="s">
        <v>14</v>
      </c>
      <c r="C170" s="18">
        <v>0</v>
      </c>
      <c r="D170" s="18">
        <v>0</v>
      </c>
      <c r="E170" s="18">
        <v>0</v>
      </c>
    </row>
    <row r="171" spans="1:5" x14ac:dyDescent="0.25">
      <c r="A171" s="18">
        <v>1982</v>
      </c>
      <c r="B171" s="18" t="s">
        <v>14</v>
      </c>
      <c r="C171" s="18">
        <v>0</v>
      </c>
      <c r="D171" s="18">
        <v>0</v>
      </c>
      <c r="E171" s="18">
        <v>0</v>
      </c>
    </row>
    <row r="172" spans="1:5" x14ac:dyDescent="0.25">
      <c r="A172" s="18">
        <v>1983</v>
      </c>
      <c r="B172" s="18" t="s">
        <v>14</v>
      </c>
      <c r="C172" s="18">
        <v>0</v>
      </c>
      <c r="D172" s="18">
        <v>0</v>
      </c>
      <c r="E172" s="18">
        <v>0</v>
      </c>
    </row>
    <row r="173" spans="1:5" x14ac:dyDescent="0.25">
      <c r="A173" s="18">
        <v>1984</v>
      </c>
      <c r="B173" s="18" t="s">
        <v>14</v>
      </c>
      <c r="C173" s="18">
        <v>0</v>
      </c>
      <c r="D173" s="18">
        <v>0</v>
      </c>
      <c r="E173" s="18">
        <v>0</v>
      </c>
    </row>
    <row r="174" spans="1:5" x14ac:dyDescent="0.25">
      <c r="A174" s="18">
        <v>1985</v>
      </c>
      <c r="B174" s="18" t="s">
        <v>14</v>
      </c>
      <c r="C174" s="18">
        <v>531</v>
      </c>
      <c r="D174" s="18">
        <v>590</v>
      </c>
      <c r="E174" s="18">
        <v>1120</v>
      </c>
    </row>
    <row r="175" spans="1:5" x14ac:dyDescent="0.25">
      <c r="A175" s="18">
        <v>1986</v>
      </c>
      <c r="B175" s="18" t="s">
        <v>14</v>
      </c>
      <c r="C175" s="18">
        <v>0</v>
      </c>
      <c r="D175" s="18">
        <v>0</v>
      </c>
      <c r="E175" s="18">
        <v>0</v>
      </c>
    </row>
    <row r="176" spans="1:5" x14ac:dyDescent="0.25">
      <c r="A176" s="18">
        <v>1987</v>
      </c>
      <c r="B176" s="18" t="s">
        <v>14</v>
      </c>
      <c r="C176" s="18">
        <v>0</v>
      </c>
      <c r="D176" s="18">
        <v>0</v>
      </c>
      <c r="E176" s="18">
        <v>0</v>
      </c>
    </row>
    <row r="177" spans="1:5" x14ac:dyDescent="0.25">
      <c r="A177" s="18">
        <v>1988</v>
      </c>
      <c r="B177" s="18" t="s">
        <v>14</v>
      </c>
      <c r="C177" s="18">
        <v>0</v>
      </c>
      <c r="D177" s="18">
        <v>0</v>
      </c>
      <c r="E177" s="18">
        <v>0</v>
      </c>
    </row>
    <row r="178" spans="1:5" x14ac:dyDescent="0.25">
      <c r="A178" s="18">
        <v>1989</v>
      </c>
      <c r="B178" s="18" t="s">
        <v>14</v>
      </c>
      <c r="C178" s="18">
        <v>0</v>
      </c>
      <c r="D178" s="18">
        <v>0</v>
      </c>
      <c r="E178" s="18">
        <v>0</v>
      </c>
    </row>
    <row r="179" spans="1:5" x14ac:dyDescent="0.25">
      <c r="A179" s="18">
        <v>1990</v>
      </c>
      <c r="B179" s="18" t="s">
        <v>14</v>
      </c>
      <c r="C179" s="18">
        <v>561</v>
      </c>
      <c r="D179" s="18">
        <v>620</v>
      </c>
      <c r="E179" s="18">
        <v>1181</v>
      </c>
    </row>
    <row r="180" spans="1:5" x14ac:dyDescent="0.25">
      <c r="A180" s="18">
        <v>1991</v>
      </c>
      <c r="B180" s="18" t="s">
        <v>14</v>
      </c>
      <c r="C180" s="18">
        <v>0</v>
      </c>
      <c r="D180" s="18">
        <v>0</v>
      </c>
      <c r="E180" s="18">
        <v>0</v>
      </c>
    </row>
    <row r="181" spans="1:5" x14ac:dyDescent="0.25">
      <c r="A181" s="18">
        <v>1992</v>
      </c>
      <c r="B181" s="18" t="s">
        <v>14</v>
      </c>
      <c r="C181" s="18">
        <v>0</v>
      </c>
      <c r="D181" s="18">
        <v>0</v>
      </c>
      <c r="E181" s="18">
        <v>0</v>
      </c>
    </row>
    <row r="182" spans="1:5" x14ac:dyDescent="0.25">
      <c r="A182" s="18">
        <v>1993</v>
      </c>
      <c r="B182" s="18" t="s">
        <v>14</v>
      </c>
      <c r="C182" s="18">
        <v>0</v>
      </c>
      <c r="D182" s="18">
        <v>0</v>
      </c>
      <c r="E182" s="18">
        <v>0</v>
      </c>
    </row>
    <row r="183" spans="1:5" x14ac:dyDescent="0.25">
      <c r="A183" s="18">
        <v>1994</v>
      </c>
      <c r="B183" s="18" t="s">
        <v>14</v>
      </c>
      <c r="C183" s="18">
        <v>0</v>
      </c>
      <c r="D183" s="18">
        <v>0</v>
      </c>
      <c r="E183" s="18">
        <v>0</v>
      </c>
    </row>
    <row r="184" spans="1:5" x14ac:dyDescent="0.25">
      <c r="A184" s="18">
        <v>1995</v>
      </c>
      <c r="B184" s="18" t="s">
        <v>14</v>
      </c>
      <c r="C184" s="18">
        <v>0</v>
      </c>
      <c r="D184" s="18">
        <v>0</v>
      </c>
      <c r="E184" s="18">
        <v>0</v>
      </c>
    </row>
    <row r="185" spans="1:5" x14ac:dyDescent="0.25">
      <c r="A185" s="18">
        <v>1996</v>
      </c>
      <c r="B185" s="18" t="s">
        <v>14</v>
      </c>
      <c r="C185" s="18">
        <v>0</v>
      </c>
      <c r="D185" s="18">
        <v>0</v>
      </c>
      <c r="E185" s="18">
        <v>0</v>
      </c>
    </row>
    <row r="186" spans="1:5" x14ac:dyDescent="0.25">
      <c r="A186" s="18">
        <v>1997</v>
      </c>
      <c r="B186" s="18" t="s">
        <v>14</v>
      </c>
      <c r="C186" s="18">
        <v>0</v>
      </c>
      <c r="D186" s="18">
        <v>0</v>
      </c>
      <c r="E186" s="18">
        <v>0</v>
      </c>
    </row>
    <row r="187" spans="1:5" x14ac:dyDescent="0.25">
      <c r="A187" s="18">
        <v>1998</v>
      </c>
      <c r="B187" s="18" t="s">
        <v>14</v>
      </c>
      <c r="C187" s="18">
        <v>0</v>
      </c>
      <c r="D187" s="18">
        <v>0</v>
      </c>
      <c r="E187" s="18">
        <v>0</v>
      </c>
    </row>
    <row r="188" spans="1:5" x14ac:dyDescent="0.25">
      <c r="A188" s="18">
        <v>1999</v>
      </c>
      <c r="B188" s="18" t="s">
        <v>14</v>
      </c>
      <c r="C188" s="18">
        <v>0</v>
      </c>
      <c r="D188" s="18">
        <v>0</v>
      </c>
      <c r="E188" s="18">
        <v>0</v>
      </c>
    </row>
    <row r="189" spans="1:5" x14ac:dyDescent="0.25">
      <c r="A189" s="18">
        <v>2000</v>
      </c>
      <c r="B189" s="18" t="s">
        <v>14</v>
      </c>
      <c r="C189" s="18">
        <v>635</v>
      </c>
      <c r="D189" s="18">
        <v>698</v>
      </c>
      <c r="E189" s="18">
        <v>1333</v>
      </c>
    </row>
    <row r="190" spans="1:5" x14ac:dyDescent="0.25">
      <c r="A190" s="18">
        <v>2001</v>
      </c>
      <c r="B190" s="18" t="s">
        <v>14</v>
      </c>
      <c r="C190" s="18">
        <v>0</v>
      </c>
      <c r="D190" s="18">
        <v>0</v>
      </c>
      <c r="E190" s="18">
        <v>0</v>
      </c>
    </row>
    <row r="191" spans="1:5" x14ac:dyDescent="0.25">
      <c r="A191" s="18">
        <v>2002</v>
      </c>
      <c r="B191" s="18" t="s">
        <v>14</v>
      </c>
      <c r="C191" s="18">
        <v>0</v>
      </c>
      <c r="D191" s="18">
        <v>0</v>
      </c>
      <c r="E191" s="18">
        <v>0</v>
      </c>
    </row>
    <row r="192" spans="1:5" x14ac:dyDescent="0.25">
      <c r="A192" s="18">
        <v>2003</v>
      </c>
      <c r="B192" s="18" t="s">
        <v>14</v>
      </c>
      <c r="C192" s="18">
        <v>0</v>
      </c>
      <c r="D192" s="18">
        <v>0</v>
      </c>
      <c r="E192" s="18">
        <v>0</v>
      </c>
    </row>
    <row r="193" spans="1:5" x14ac:dyDescent="0.25">
      <c r="A193" s="18">
        <v>2004</v>
      </c>
      <c r="B193" s="18" t="s">
        <v>14</v>
      </c>
      <c r="C193" s="18">
        <v>0</v>
      </c>
      <c r="D193" s="18">
        <v>0</v>
      </c>
      <c r="E193" s="18">
        <v>0</v>
      </c>
    </row>
    <row r="194" spans="1:5" x14ac:dyDescent="0.25">
      <c r="A194" s="18">
        <v>2005</v>
      </c>
      <c r="B194" s="18" t="s">
        <v>14</v>
      </c>
      <c r="C194" s="18">
        <v>0</v>
      </c>
      <c r="D194" s="18">
        <v>0</v>
      </c>
      <c r="E194" s="18">
        <v>0</v>
      </c>
    </row>
    <row r="195" spans="1:5" x14ac:dyDescent="0.25">
      <c r="A195" s="18">
        <v>2006</v>
      </c>
      <c r="B195" s="18" t="s">
        <v>14</v>
      </c>
      <c r="C195" s="18">
        <v>0</v>
      </c>
      <c r="D195" s="18">
        <v>0</v>
      </c>
      <c r="E195" s="18">
        <v>0</v>
      </c>
    </row>
    <row r="196" spans="1:5" x14ac:dyDescent="0.25">
      <c r="A196" s="18">
        <v>2007</v>
      </c>
      <c r="B196" s="18" t="s">
        <v>14</v>
      </c>
      <c r="C196" s="18">
        <v>0</v>
      </c>
      <c r="D196" s="18">
        <v>0</v>
      </c>
      <c r="E196" s="18">
        <v>0</v>
      </c>
    </row>
    <row r="197" spans="1:5" x14ac:dyDescent="0.25">
      <c r="A197" s="18">
        <v>2008</v>
      </c>
      <c r="B197" s="18" t="s">
        <v>14</v>
      </c>
      <c r="C197" s="18">
        <v>0</v>
      </c>
      <c r="D197" s="18">
        <v>0</v>
      </c>
      <c r="E197" s="18">
        <v>0</v>
      </c>
    </row>
    <row r="198" spans="1:5" x14ac:dyDescent="0.25">
      <c r="A198" s="18">
        <v>1950</v>
      </c>
      <c r="B198" s="18" t="s">
        <v>15</v>
      </c>
      <c r="C198" s="18">
        <v>0</v>
      </c>
      <c r="D198" s="18">
        <v>0</v>
      </c>
      <c r="E198" s="18">
        <v>0</v>
      </c>
    </row>
    <row r="199" spans="1:5" x14ac:dyDescent="0.25">
      <c r="A199" s="18">
        <v>1951</v>
      </c>
      <c r="B199" s="18" t="s">
        <v>15</v>
      </c>
      <c r="C199" s="18">
        <v>0</v>
      </c>
      <c r="D199" s="18">
        <v>0</v>
      </c>
      <c r="E199" s="18">
        <v>0</v>
      </c>
    </row>
    <row r="200" spans="1:5" x14ac:dyDescent="0.25">
      <c r="A200" s="18">
        <v>1952</v>
      </c>
      <c r="B200" s="18" t="s">
        <v>15</v>
      </c>
      <c r="C200" s="18">
        <v>0</v>
      </c>
      <c r="D200" s="18">
        <v>0</v>
      </c>
      <c r="E200" s="18">
        <v>0</v>
      </c>
    </row>
    <row r="201" spans="1:5" x14ac:dyDescent="0.25">
      <c r="A201" s="18">
        <v>1953</v>
      </c>
      <c r="B201" s="18" t="s">
        <v>15</v>
      </c>
      <c r="C201" s="18">
        <v>0</v>
      </c>
      <c r="D201" s="18">
        <v>0</v>
      </c>
      <c r="E201" s="18">
        <v>0</v>
      </c>
    </row>
    <row r="202" spans="1:5" x14ac:dyDescent="0.25">
      <c r="A202" s="18">
        <v>1954</v>
      </c>
      <c r="B202" s="18" t="s">
        <v>15</v>
      </c>
      <c r="C202" s="18">
        <v>0</v>
      </c>
      <c r="D202" s="18">
        <v>0</v>
      </c>
      <c r="E202" s="18">
        <v>0</v>
      </c>
    </row>
    <row r="203" spans="1:5" x14ac:dyDescent="0.25">
      <c r="A203" s="18">
        <v>1955</v>
      </c>
      <c r="B203" s="18" t="s">
        <v>15</v>
      </c>
      <c r="C203" s="18">
        <v>0</v>
      </c>
      <c r="D203" s="18">
        <v>0</v>
      </c>
      <c r="E203" s="18">
        <v>0</v>
      </c>
    </row>
    <row r="204" spans="1:5" x14ac:dyDescent="0.25">
      <c r="A204" s="18">
        <v>1956</v>
      </c>
      <c r="B204" s="18" t="s">
        <v>15</v>
      </c>
      <c r="C204" s="18">
        <v>0</v>
      </c>
      <c r="D204" s="18">
        <v>0</v>
      </c>
      <c r="E204" s="18">
        <v>0</v>
      </c>
    </row>
    <row r="205" spans="1:5" x14ac:dyDescent="0.25">
      <c r="A205" s="18">
        <v>1957</v>
      </c>
      <c r="B205" s="18" t="s">
        <v>15</v>
      </c>
      <c r="C205" s="18">
        <v>0</v>
      </c>
      <c r="D205" s="18">
        <v>0</v>
      </c>
      <c r="E205" s="18">
        <v>0</v>
      </c>
    </row>
    <row r="206" spans="1:5" x14ac:dyDescent="0.25">
      <c r="A206" s="18">
        <v>1958</v>
      </c>
      <c r="B206" s="18" t="s">
        <v>15</v>
      </c>
      <c r="C206" s="18">
        <v>0</v>
      </c>
      <c r="D206" s="18">
        <v>0</v>
      </c>
      <c r="E206" s="18">
        <v>0</v>
      </c>
    </row>
    <row r="207" spans="1:5" x14ac:dyDescent="0.25">
      <c r="A207" s="18">
        <v>1959</v>
      </c>
      <c r="B207" s="18" t="s">
        <v>15</v>
      </c>
      <c r="C207" s="18">
        <v>0</v>
      </c>
      <c r="D207" s="18">
        <v>0</v>
      </c>
      <c r="E207" s="18">
        <v>0</v>
      </c>
    </row>
    <row r="208" spans="1:5" x14ac:dyDescent="0.25">
      <c r="A208" s="18">
        <v>1960</v>
      </c>
      <c r="B208" s="18" t="s">
        <v>15</v>
      </c>
      <c r="C208" s="18">
        <v>0</v>
      </c>
      <c r="D208" s="18">
        <v>0</v>
      </c>
      <c r="E208" s="18">
        <v>0</v>
      </c>
    </row>
    <row r="209" spans="1:5" x14ac:dyDescent="0.25">
      <c r="A209" s="18">
        <v>1961</v>
      </c>
      <c r="B209" s="18" t="s">
        <v>15</v>
      </c>
      <c r="C209" s="18">
        <v>0</v>
      </c>
      <c r="D209" s="18">
        <v>0</v>
      </c>
      <c r="E209" s="18">
        <v>0</v>
      </c>
    </row>
    <row r="210" spans="1:5" x14ac:dyDescent="0.25">
      <c r="A210" s="18">
        <v>1962</v>
      </c>
      <c r="B210" s="18" t="s">
        <v>15</v>
      </c>
      <c r="C210" s="18">
        <v>0</v>
      </c>
      <c r="D210" s="18">
        <v>0</v>
      </c>
      <c r="E210" s="18">
        <v>0</v>
      </c>
    </row>
    <row r="211" spans="1:5" x14ac:dyDescent="0.25">
      <c r="A211" s="18">
        <v>1963</v>
      </c>
      <c r="B211" s="18" t="s">
        <v>15</v>
      </c>
      <c r="C211" s="18">
        <v>0</v>
      </c>
      <c r="D211" s="18">
        <v>0</v>
      </c>
      <c r="E211" s="18">
        <v>0</v>
      </c>
    </row>
    <row r="212" spans="1:5" x14ac:dyDescent="0.25">
      <c r="A212" s="18">
        <v>1964</v>
      </c>
      <c r="B212" s="18" t="s">
        <v>15</v>
      </c>
      <c r="C212" s="18">
        <v>0</v>
      </c>
      <c r="D212" s="18">
        <v>0</v>
      </c>
      <c r="E212" s="18">
        <v>0</v>
      </c>
    </row>
    <row r="213" spans="1:5" x14ac:dyDescent="0.25">
      <c r="A213" s="18">
        <v>1965</v>
      </c>
      <c r="B213" s="18" t="s">
        <v>15</v>
      </c>
      <c r="C213" s="18">
        <v>0</v>
      </c>
      <c r="D213" s="18">
        <v>0</v>
      </c>
      <c r="E213" s="18">
        <v>0</v>
      </c>
    </row>
    <row r="214" spans="1:5" x14ac:dyDescent="0.25">
      <c r="A214" s="18">
        <v>1966</v>
      </c>
      <c r="B214" s="18" t="s">
        <v>15</v>
      </c>
      <c r="C214" s="18">
        <v>0</v>
      </c>
      <c r="D214" s="18">
        <v>0</v>
      </c>
      <c r="E214" s="18">
        <v>0</v>
      </c>
    </row>
    <row r="215" spans="1:5" x14ac:dyDescent="0.25">
      <c r="A215" s="18">
        <v>1967</v>
      </c>
      <c r="B215" s="18" t="s">
        <v>15</v>
      </c>
      <c r="C215" s="18">
        <v>0</v>
      </c>
      <c r="D215" s="18">
        <v>0</v>
      </c>
      <c r="E215" s="18">
        <v>0</v>
      </c>
    </row>
    <row r="216" spans="1:5" x14ac:dyDescent="0.25">
      <c r="A216" s="18">
        <v>1968</v>
      </c>
      <c r="B216" s="18" t="s">
        <v>15</v>
      </c>
      <c r="C216" s="18">
        <v>0</v>
      </c>
      <c r="D216" s="18">
        <v>0</v>
      </c>
      <c r="E216" s="18">
        <v>0</v>
      </c>
    </row>
    <row r="217" spans="1:5" x14ac:dyDescent="0.25">
      <c r="A217" s="18">
        <v>1969</v>
      </c>
      <c r="B217" s="18" t="s">
        <v>15</v>
      </c>
      <c r="C217" s="18">
        <v>0</v>
      </c>
      <c r="D217" s="18">
        <v>0</v>
      </c>
      <c r="E217" s="18">
        <v>0</v>
      </c>
    </row>
    <row r="218" spans="1:5" x14ac:dyDescent="0.25">
      <c r="A218" s="18">
        <v>1970</v>
      </c>
      <c r="B218" s="18" t="s">
        <v>15</v>
      </c>
      <c r="C218" s="18">
        <v>0</v>
      </c>
      <c r="D218" s="18">
        <v>0</v>
      </c>
      <c r="E218" s="18">
        <v>0</v>
      </c>
    </row>
    <row r="219" spans="1:5" x14ac:dyDescent="0.25">
      <c r="A219" s="18">
        <v>1971</v>
      </c>
      <c r="B219" s="18" t="s">
        <v>15</v>
      </c>
      <c r="C219" s="18">
        <v>0</v>
      </c>
      <c r="D219" s="18">
        <v>0</v>
      </c>
      <c r="E219" s="18">
        <v>0</v>
      </c>
    </row>
    <row r="220" spans="1:5" x14ac:dyDescent="0.25">
      <c r="A220" s="18">
        <v>1972</v>
      </c>
      <c r="B220" s="18" t="s">
        <v>15</v>
      </c>
      <c r="C220" s="18">
        <v>0</v>
      </c>
      <c r="D220" s="18">
        <v>0</v>
      </c>
      <c r="E220" s="18">
        <v>0</v>
      </c>
    </row>
    <row r="221" spans="1:5" x14ac:dyDescent="0.25">
      <c r="A221" s="18">
        <v>1973</v>
      </c>
      <c r="B221" s="18" t="s">
        <v>15</v>
      </c>
      <c r="C221" s="18">
        <v>0</v>
      </c>
      <c r="D221" s="18">
        <v>0</v>
      </c>
      <c r="E221" s="18">
        <v>0</v>
      </c>
    </row>
    <row r="222" spans="1:5" x14ac:dyDescent="0.25">
      <c r="A222" s="18">
        <v>1974</v>
      </c>
      <c r="B222" s="18" t="s">
        <v>15</v>
      </c>
      <c r="C222" s="18">
        <v>0</v>
      </c>
      <c r="D222" s="18">
        <v>0</v>
      </c>
      <c r="E222" s="18">
        <v>0</v>
      </c>
    </row>
    <row r="223" spans="1:5" x14ac:dyDescent="0.25">
      <c r="A223" s="18">
        <v>1975</v>
      </c>
      <c r="B223" s="18" t="s">
        <v>15</v>
      </c>
      <c r="C223" s="18">
        <v>2314</v>
      </c>
      <c r="D223" s="18">
        <v>2512</v>
      </c>
      <c r="E223" s="18">
        <v>4826</v>
      </c>
    </row>
    <row r="224" spans="1:5" x14ac:dyDescent="0.25">
      <c r="A224" s="18">
        <v>1976</v>
      </c>
      <c r="B224" s="18" t="s">
        <v>15</v>
      </c>
      <c r="C224" s="18">
        <v>0</v>
      </c>
      <c r="D224" s="18">
        <v>0</v>
      </c>
      <c r="E224" s="18">
        <v>0</v>
      </c>
    </row>
    <row r="225" spans="1:5" x14ac:dyDescent="0.25">
      <c r="A225" s="18">
        <v>1977</v>
      </c>
      <c r="B225" s="18" t="s">
        <v>15</v>
      </c>
      <c r="C225" s="18">
        <v>0</v>
      </c>
      <c r="D225" s="18">
        <v>0</v>
      </c>
      <c r="E225" s="18">
        <v>0</v>
      </c>
    </row>
    <row r="226" spans="1:5" x14ac:dyDescent="0.25">
      <c r="A226" s="18">
        <v>1978</v>
      </c>
      <c r="B226" s="18" t="s">
        <v>15</v>
      </c>
      <c r="C226" s="18">
        <v>0</v>
      </c>
      <c r="D226" s="18">
        <v>0</v>
      </c>
      <c r="E226" s="18">
        <v>0</v>
      </c>
    </row>
    <row r="227" spans="1:5" x14ac:dyDescent="0.25">
      <c r="A227" s="18">
        <v>1979</v>
      </c>
      <c r="B227" s="18" t="s">
        <v>15</v>
      </c>
      <c r="C227" s="18">
        <v>0</v>
      </c>
      <c r="D227" s="18">
        <v>0</v>
      </c>
      <c r="E227" s="18">
        <v>0</v>
      </c>
    </row>
    <row r="228" spans="1:5" x14ac:dyDescent="0.25">
      <c r="A228" s="18">
        <v>1980</v>
      </c>
      <c r="B228" s="18" t="s">
        <v>15</v>
      </c>
      <c r="C228" s="18">
        <v>2774</v>
      </c>
      <c r="D228" s="18">
        <v>2888</v>
      </c>
      <c r="E228" s="18">
        <v>5662</v>
      </c>
    </row>
    <row r="229" spans="1:5" x14ac:dyDescent="0.25">
      <c r="A229" s="18">
        <v>1981</v>
      </c>
      <c r="B229" s="18" t="s">
        <v>15</v>
      </c>
      <c r="C229" s="18">
        <v>0</v>
      </c>
      <c r="D229" s="18">
        <v>0</v>
      </c>
      <c r="E229" s="18">
        <v>0</v>
      </c>
    </row>
    <row r="230" spans="1:5" x14ac:dyDescent="0.25">
      <c r="A230" s="18">
        <v>1982</v>
      </c>
      <c r="B230" s="18" t="s">
        <v>15</v>
      </c>
      <c r="C230" s="18">
        <v>0</v>
      </c>
      <c r="D230" s="18">
        <v>0</v>
      </c>
      <c r="E230" s="18">
        <v>0</v>
      </c>
    </row>
    <row r="231" spans="1:5" x14ac:dyDescent="0.25">
      <c r="A231" s="18">
        <v>1983</v>
      </c>
      <c r="B231" s="18" t="s">
        <v>15</v>
      </c>
      <c r="C231" s="18">
        <v>0</v>
      </c>
      <c r="D231" s="18">
        <v>0</v>
      </c>
      <c r="E231" s="18">
        <v>0</v>
      </c>
    </row>
    <row r="232" spans="1:5" x14ac:dyDescent="0.25">
      <c r="A232" s="18">
        <v>1984</v>
      </c>
      <c r="B232" s="18" t="s">
        <v>15</v>
      </c>
      <c r="C232" s="18">
        <v>0</v>
      </c>
      <c r="D232" s="18">
        <v>0</v>
      </c>
      <c r="E232" s="18">
        <v>0</v>
      </c>
    </row>
    <row r="233" spans="1:5" x14ac:dyDescent="0.25">
      <c r="A233" s="18">
        <v>1985</v>
      </c>
      <c r="B233" s="18" t="s">
        <v>15</v>
      </c>
      <c r="C233" s="18">
        <v>2556</v>
      </c>
      <c r="D233" s="18">
        <v>2651</v>
      </c>
      <c r="E233" s="18">
        <v>5206</v>
      </c>
    </row>
    <row r="234" spans="1:5" x14ac:dyDescent="0.25">
      <c r="A234" s="18">
        <v>1986</v>
      </c>
      <c r="B234" s="18" t="s">
        <v>15</v>
      </c>
      <c r="C234" s="18">
        <v>0</v>
      </c>
      <c r="D234" s="18">
        <v>0</v>
      </c>
      <c r="E234" s="18">
        <v>0</v>
      </c>
    </row>
    <row r="235" spans="1:5" x14ac:dyDescent="0.25">
      <c r="A235" s="18">
        <v>1987</v>
      </c>
      <c r="B235" s="18" t="s">
        <v>15</v>
      </c>
      <c r="C235" s="18">
        <v>0</v>
      </c>
      <c r="D235" s="18">
        <v>0</v>
      </c>
      <c r="E235" s="18">
        <v>0</v>
      </c>
    </row>
    <row r="236" spans="1:5" x14ac:dyDescent="0.25">
      <c r="A236" s="18">
        <v>1988</v>
      </c>
      <c r="B236" s="18" t="s">
        <v>15</v>
      </c>
      <c r="C236" s="18">
        <v>0</v>
      </c>
      <c r="D236" s="18">
        <v>0</v>
      </c>
      <c r="E236" s="18">
        <v>0</v>
      </c>
    </row>
    <row r="237" spans="1:5" x14ac:dyDescent="0.25">
      <c r="A237" s="18">
        <v>1989</v>
      </c>
      <c r="B237" s="18" t="s">
        <v>15</v>
      </c>
      <c r="C237" s="18">
        <v>0</v>
      </c>
      <c r="D237" s="18">
        <v>0</v>
      </c>
      <c r="E237" s="18">
        <v>0</v>
      </c>
    </row>
    <row r="238" spans="1:5" x14ac:dyDescent="0.25">
      <c r="A238" s="18">
        <v>1990</v>
      </c>
      <c r="B238" s="18" t="s">
        <v>15</v>
      </c>
      <c r="C238" s="18">
        <v>3046</v>
      </c>
      <c r="D238" s="18">
        <v>3155</v>
      </c>
      <c r="E238" s="18">
        <v>6200</v>
      </c>
    </row>
    <row r="239" spans="1:5" x14ac:dyDescent="0.25">
      <c r="A239" s="18">
        <v>1991</v>
      </c>
      <c r="B239" s="18" t="s">
        <v>15</v>
      </c>
      <c r="C239" s="18">
        <v>0</v>
      </c>
      <c r="D239" s="18">
        <v>0</v>
      </c>
      <c r="E239" s="18">
        <v>0</v>
      </c>
    </row>
    <row r="240" spans="1:5" x14ac:dyDescent="0.25">
      <c r="A240" s="18">
        <v>1992</v>
      </c>
      <c r="B240" s="18" t="s">
        <v>15</v>
      </c>
      <c r="C240" s="18">
        <v>0</v>
      </c>
      <c r="D240" s="18">
        <v>0</v>
      </c>
      <c r="E240" s="18">
        <v>0</v>
      </c>
    </row>
    <row r="241" spans="1:5" x14ac:dyDescent="0.25">
      <c r="A241" s="18">
        <v>1993</v>
      </c>
      <c r="B241" s="18" t="s">
        <v>15</v>
      </c>
      <c r="C241" s="18">
        <v>0</v>
      </c>
      <c r="D241" s="18">
        <v>0</v>
      </c>
      <c r="E241" s="18">
        <v>0</v>
      </c>
    </row>
    <row r="242" spans="1:5" x14ac:dyDescent="0.25">
      <c r="A242" s="18">
        <v>1994</v>
      </c>
      <c r="B242" s="18" t="s">
        <v>15</v>
      </c>
      <c r="C242" s="18">
        <v>0</v>
      </c>
      <c r="D242" s="18">
        <v>0</v>
      </c>
      <c r="E242" s="18">
        <v>0</v>
      </c>
    </row>
    <row r="243" spans="1:5" x14ac:dyDescent="0.25">
      <c r="A243" s="18">
        <v>1995</v>
      </c>
      <c r="B243" s="18" t="s">
        <v>15</v>
      </c>
      <c r="C243" s="18">
        <v>0</v>
      </c>
      <c r="D243" s="18">
        <v>0</v>
      </c>
      <c r="E243" s="18">
        <v>0</v>
      </c>
    </row>
    <row r="244" spans="1:5" x14ac:dyDescent="0.25">
      <c r="A244" s="18">
        <v>1996</v>
      </c>
      <c r="B244" s="18" t="s">
        <v>15</v>
      </c>
      <c r="C244" s="18">
        <v>0</v>
      </c>
      <c r="D244" s="18">
        <v>0</v>
      </c>
      <c r="E244" s="18">
        <v>0</v>
      </c>
    </row>
    <row r="245" spans="1:5" x14ac:dyDescent="0.25">
      <c r="A245" s="18">
        <v>1997</v>
      </c>
      <c r="B245" s="18" t="s">
        <v>15</v>
      </c>
      <c r="C245" s="18">
        <v>0</v>
      </c>
      <c r="D245" s="18">
        <v>0</v>
      </c>
      <c r="E245" s="18">
        <v>0</v>
      </c>
    </row>
    <row r="246" spans="1:5" x14ac:dyDescent="0.25">
      <c r="A246" s="18">
        <v>1998</v>
      </c>
      <c r="B246" s="18" t="s">
        <v>15</v>
      </c>
      <c r="C246" s="18">
        <v>0</v>
      </c>
      <c r="D246" s="18">
        <v>0</v>
      </c>
      <c r="E246" s="18">
        <v>0</v>
      </c>
    </row>
    <row r="247" spans="1:5" x14ac:dyDescent="0.25">
      <c r="A247" s="18">
        <v>1999</v>
      </c>
      <c r="B247" s="18" t="s">
        <v>15</v>
      </c>
      <c r="C247" s="18">
        <v>0</v>
      </c>
      <c r="D247" s="18">
        <v>0</v>
      </c>
      <c r="E247" s="18">
        <v>0</v>
      </c>
    </row>
    <row r="248" spans="1:5" x14ac:dyDescent="0.25">
      <c r="A248" s="18">
        <v>2000</v>
      </c>
      <c r="B248" s="18" t="s">
        <v>15</v>
      </c>
      <c r="C248" s="18">
        <v>3731</v>
      </c>
      <c r="D248" s="18">
        <v>3736</v>
      </c>
      <c r="E248" s="18">
        <v>7468</v>
      </c>
    </row>
    <row r="249" spans="1:5" x14ac:dyDescent="0.25">
      <c r="A249" s="18">
        <v>2001</v>
      </c>
      <c r="B249" s="18" t="s">
        <v>15</v>
      </c>
      <c r="C249" s="18">
        <v>0</v>
      </c>
      <c r="D249" s="18">
        <v>0</v>
      </c>
      <c r="E249" s="18">
        <v>0</v>
      </c>
    </row>
    <row r="250" spans="1:5" x14ac:dyDescent="0.25">
      <c r="A250" s="18">
        <v>2002</v>
      </c>
      <c r="B250" s="18" t="s">
        <v>15</v>
      </c>
      <c r="C250" s="18">
        <v>0</v>
      </c>
      <c r="D250" s="18">
        <v>0</v>
      </c>
      <c r="E250" s="18">
        <v>0</v>
      </c>
    </row>
    <row r="251" spans="1:5" x14ac:dyDescent="0.25">
      <c r="A251" s="18">
        <v>2003</v>
      </c>
      <c r="B251" s="18" t="s">
        <v>15</v>
      </c>
      <c r="C251" s="18">
        <v>0</v>
      </c>
      <c r="D251" s="18">
        <v>0</v>
      </c>
      <c r="E251" s="18">
        <v>0</v>
      </c>
    </row>
    <row r="252" spans="1:5" x14ac:dyDescent="0.25">
      <c r="A252" s="18">
        <v>2004</v>
      </c>
      <c r="B252" s="18" t="s">
        <v>15</v>
      </c>
      <c r="C252" s="18">
        <v>0</v>
      </c>
      <c r="D252" s="18">
        <v>0</v>
      </c>
      <c r="E252" s="18">
        <v>0</v>
      </c>
    </row>
    <row r="253" spans="1:5" x14ac:dyDescent="0.25">
      <c r="A253" s="18">
        <v>2005</v>
      </c>
      <c r="B253" s="18" t="s">
        <v>15</v>
      </c>
      <c r="C253" s="18">
        <v>0</v>
      </c>
      <c r="D253" s="18">
        <v>0</v>
      </c>
      <c r="E253" s="18">
        <v>0</v>
      </c>
    </row>
    <row r="254" spans="1:5" x14ac:dyDescent="0.25">
      <c r="A254" s="18">
        <v>2006</v>
      </c>
      <c r="B254" s="18" t="s">
        <v>15</v>
      </c>
      <c r="C254" s="18">
        <v>0</v>
      </c>
      <c r="D254" s="18">
        <v>0</v>
      </c>
      <c r="E254" s="18">
        <v>0</v>
      </c>
    </row>
    <row r="255" spans="1:5" x14ac:dyDescent="0.25">
      <c r="A255" s="18">
        <v>2007</v>
      </c>
      <c r="B255" s="18" t="s">
        <v>15</v>
      </c>
      <c r="C255" s="18">
        <v>0</v>
      </c>
      <c r="D255" s="18">
        <v>0</v>
      </c>
      <c r="E255" s="18">
        <v>0</v>
      </c>
    </row>
    <row r="256" spans="1:5" x14ac:dyDescent="0.25">
      <c r="A256" s="18">
        <v>2008</v>
      </c>
      <c r="B256" s="18" t="s">
        <v>15</v>
      </c>
      <c r="C256" s="18">
        <v>0</v>
      </c>
      <c r="D256" s="18">
        <v>0</v>
      </c>
      <c r="E256" s="18">
        <v>0</v>
      </c>
    </row>
    <row r="257" spans="1:5" x14ac:dyDescent="0.25">
      <c r="A257" s="18">
        <v>1950</v>
      </c>
      <c r="B257" s="18" t="s">
        <v>23</v>
      </c>
      <c r="C257" s="18">
        <v>0</v>
      </c>
      <c r="D257" s="18">
        <v>0</v>
      </c>
      <c r="E257" s="18">
        <v>0</v>
      </c>
    </row>
    <row r="258" spans="1:5" x14ac:dyDescent="0.25">
      <c r="A258" s="18">
        <v>1951</v>
      </c>
      <c r="B258" s="18" t="s">
        <v>23</v>
      </c>
      <c r="C258" s="18">
        <v>0</v>
      </c>
      <c r="D258" s="18">
        <v>0</v>
      </c>
      <c r="E258" s="18">
        <v>0</v>
      </c>
    </row>
    <row r="259" spans="1:5" x14ac:dyDescent="0.25">
      <c r="A259" s="18">
        <v>1952</v>
      </c>
      <c r="B259" s="18" t="s">
        <v>23</v>
      </c>
      <c r="C259" s="18">
        <v>0</v>
      </c>
      <c r="D259" s="18">
        <v>0</v>
      </c>
      <c r="E259" s="18">
        <v>0</v>
      </c>
    </row>
    <row r="260" spans="1:5" x14ac:dyDescent="0.25">
      <c r="A260" s="18">
        <v>1953</v>
      </c>
      <c r="B260" s="18" t="s">
        <v>23</v>
      </c>
      <c r="C260" s="18">
        <v>0</v>
      </c>
      <c r="D260" s="18">
        <v>0</v>
      </c>
      <c r="E260" s="18">
        <v>0</v>
      </c>
    </row>
    <row r="261" spans="1:5" x14ac:dyDescent="0.25">
      <c r="A261" s="18">
        <v>1954</v>
      </c>
      <c r="B261" s="18" t="s">
        <v>23</v>
      </c>
      <c r="C261" s="18">
        <v>0</v>
      </c>
      <c r="D261" s="18">
        <v>0</v>
      </c>
      <c r="E261" s="18">
        <v>0</v>
      </c>
    </row>
    <row r="262" spans="1:5" x14ac:dyDescent="0.25">
      <c r="A262" s="18">
        <v>1955</v>
      </c>
      <c r="B262" s="18" t="s">
        <v>23</v>
      </c>
      <c r="C262" s="18">
        <v>0</v>
      </c>
      <c r="D262" s="18">
        <v>0</v>
      </c>
      <c r="E262" s="18">
        <v>0</v>
      </c>
    </row>
    <row r="263" spans="1:5" x14ac:dyDescent="0.25">
      <c r="A263" s="18">
        <v>1956</v>
      </c>
      <c r="B263" s="18" t="s">
        <v>23</v>
      </c>
      <c r="C263" s="18">
        <v>0</v>
      </c>
      <c r="D263" s="18">
        <v>0</v>
      </c>
      <c r="E263" s="18">
        <v>0</v>
      </c>
    </row>
    <row r="264" spans="1:5" x14ac:dyDescent="0.25">
      <c r="A264" s="18">
        <v>1957</v>
      </c>
      <c r="B264" s="18" t="s">
        <v>23</v>
      </c>
      <c r="C264" s="18">
        <v>0</v>
      </c>
      <c r="D264" s="18">
        <v>0</v>
      </c>
      <c r="E264" s="18">
        <v>0</v>
      </c>
    </row>
    <row r="265" spans="1:5" x14ac:dyDescent="0.25">
      <c r="A265" s="18">
        <v>1958</v>
      </c>
      <c r="B265" s="18" t="s">
        <v>23</v>
      </c>
      <c r="C265" s="18">
        <v>0</v>
      </c>
      <c r="D265" s="18">
        <v>0</v>
      </c>
      <c r="E265" s="18">
        <v>0</v>
      </c>
    </row>
    <row r="266" spans="1:5" x14ac:dyDescent="0.25">
      <c r="A266" s="18">
        <v>1959</v>
      </c>
      <c r="B266" s="18" t="s">
        <v>23</v>
      </c>
      <c r="C266" s="18">
        <v>0</v>
      </c>
      <c r="D266" s="18">
        <v>0</v>
      </c>
      <c r="E266" s="18">
        <v>0</v>
      </c>
    </row>
    <row r="267" spans="1:5" x14ac:dyDescent="0.25">
      <c r="A267" s="18">
        <v>1960</v>
      </c>
      <c r="B267" s="18" t="s">
        <v>23</v>
      </c>
      <c r="C267" s="18">
        <v>0</v>
      </c>
      <c r="D267" s="18">
        <v>0</v>
      </c>
      <c r="E267" s="18">
        <v>0</v>
      </c>
    </row>
    <row r="268" spans="1:5" x14ac:dyDescent="0.25">
      <c r="A268" s="18">
        <v>1961</v>
      </c>
      <c r="B268" s="18" t="s">
        <v>23</v>
      </c>
      <c r="C268" s="18">
        <v>0</v>
      </c>
      <c r="D268" s="18">
        <v>0</v>
      </c>
      <c r="E268" s="18">
        <v>0</v>
      </c>
    </row>
    <row r="269" spans="1:5" x14ac:dyDescent="0.25">
      <c r="A269" s="18">
        <v>1962</v>
      </c>
      <c r="B269" s="18" t="s">
        <v>23</v>
      </c>
      <c r="C269" s="18">
        <v>0</v>
      </c>
      <c r="D269" s="18">
        <v>0</v>
      </c>
      <c r="E269" s="18">
        <v>0</v>
      </c>
    </row>
    <row r="270" spans="1:5" x14ac:dyDescent="0.25">
      <c r="A270" s="18">
        <v>1963</v>
      </c>
      <c r="B270" s="18" t="s">
        <v>23</v>
      </c>
      <c r="C270" s="18">
        <v>0</v>
      </c>
      <c r="D270" s="18">
        <v>0</v>
      </c>
      <c r="E270" s="18">
        <v>0</v>
      </c>
    </row>
    <row r="271" spans="1:5" x14ac:dyDescent="0.25">
      <c r="A271" s="18">
        <v>1964</v>
      </c>
      <c r="B271" s="18" t="s">
        <v>23</v>
      </c>
      <c r="C271" s="18">
        <v>0</v>
      </c>
      <c r="D271" s="18">
        <v>0</v>
      </c>
      <c r="E271" s="18">
        <v>0</v>
      </c>
    </row>
    <row r="272" spans="1:5" x14ac:dyDescent="0.25">
      <c r="A272" s="18">
        <v>1965</v>
      </c>
      <c r="B272" s="18" t="s">
        <v>23</v>
      </c>
      <c r="C272" s="18">
        <v>0</v>
      </c>
      <c r="D272" s="18">
        <v>0</v>
      </c>
      <c r="E272" s="18">
        <v>0</v>
      </c>
    </row>
    <row r="273" spans="1:5" x14ac:dyDescent="0.25">
      <c r="A273" s="18">
        <v>1966</v>
      </c>
      <c r="B273" s="18" t="s">
        <v>23</v>
      </c>
      <c r="C273" s="18">
        <v>0</v>
      </c>
      <c r="D273" s="18">
        <v>0</v>
      </c>
      <c r="E273" s="18">
        <v>0</v>
      </c>
    </row>
    <row r="274" spans="1:5" x14ac:dyDescent="0.25">
      <c r="A274" s="18">
        <v>1967</v>
      </c>
      <c r="B274" s="18" t="s">
        <v>23</v>
      </c>
      <c r="C274" s="18">
        <v>0</v>
      </c>
      <c r="D274" s="18">
        <v>0</v>
      </c>
      <c r="E274" s="18">
        <v>0</v>
      </c>
    </row>
    <row r="275" spans="1:5" x14ac:dyDescent="0.25">
      <c r="A275" s="18">
        <v>1968</v>
      </c>
      <c r="B275" s="18" t="s">
        <v>23</v>
      </c>
      <c r="C275" s="18">
        <v>0</v>
      </c>
      <c r="D275" s="18">
        <v>0</v>
      </c>
      <c r="E275" s="18">
        <v>0</v>
      </c>
    </row>
    <row r="276" spans="1:5" x14ac:dyDescent="0.25">
      <c r="A276" s="18">
        <v>1969</v>
      </c>
      <c r="B276" s="18" t="s">
        <v>23</v>
      </c>
      <c r="C276" s="18">
        <v>0</v>
      </c>
      <c r="D276" s="18">
        <v>0</v>
      </c>
      <c r="E276" s="18">
        <v>0</v>
      </c>
    </row>
    <row r="277" spans="1:5" x14ac:dyDescent="0.25">
      <c r="A277" s="18">
        <v>1970</v>
      </c>
      <c r="B277" s="18" t="s">
        <v>23</v>
      </c>
      <c r="C277" s="18">
        <v>0</v>
      </c>
      <c r="D277" s="18">
        <v>0</v>
      </c>
      <c r="E277" s="18">
        <v>0</v>
      </c>
    </row>
    <row r="278" spans="1:5" x14ac:dyDescent="0.25">
      <c r="A278" s="18">
        <v>1971</v>
      </c>
      <c r="B278" s="18" t="s">
        <v>23</v>
      </c>
      <c r="C278" s="18">
        <v>0</v>
      </c>
      <c r="D278" s="18">
        <v>0</v>
      </c>
      <c r="E278" s="18">
        <v>0</v>
      </c>
    </row>
    <row r="279" spans="1:5" x14ac:dyDescent="0.25">
      <c r="A279" s="18">
        <v>1972</v>
      </c>
      <c r="B279" s="18" t="s">
        <v>23</v>
      </c>
      <c r="C279" s="18">
        <v>0</v>
      </c>
      <c r="D279" s="18">
        <v>0</v>
      </c>
      <c r="E279" s="18">
        <v>0</v>
      </c>
    </row>
    <row r="280" spans="1:5" x14ac:dyDescent="0.25">
      <c r="A280" s="18">
        <v>1973</v>
      </c>
      <c r="B280" s="18" t="s">
        <v>23</v>
      </c>
      <c r="C280" s="18">
        <v>0</v>
      </c>
      <c r="D280" s="18">
        <v>0</v>
      </c>
      <c r="E280" s="18">
        <v>0</v>
      </c>
    </row>
    <row r="281" spans="1:5" x14ac:dyDescent="0.25">
      <c r="A281" s="18">
        <v>1974</v>
      </c>
      <c r="B281" s="18" t="s">
        <v>23</v>
      </c>
      <c r="C281" s="18">
        <v>0</v>
      </c>
      <c r="D281" s="18">
        <v>0</v>
      </c>
      <c r="E281" s="18">
        <v>0</v>
      </c>
    </row>
    <row r="282" spans="1:5" x14ac:dyDescent="0.25">
      <c r="A282" s="18">
        <v>1975</v>
      </c>
      <c r="B282" s="18" t="s">
        <v>23</v>
      </c>
      <c r="C282" s="18">
        <v>6248</v>
      </c>
      <c r="D282" s="18">
        <v>5295</v>
      </c>
      <c r="E282" s="18">
        <v>11547</v>
      </c>
    </row>
    <row r="283" spans="1:5" x14ac:dyDescent="0.25">
      <c r="A283" s="18">
        <v>1976</v>
      </c>
      <c r="B283" s="18" t="s">
        <v>23</v>
      </c>
      <c r="C283" s="18">
        <v>0</v>
      </c>
      <c r="D283" s="18">
        <v>0</v>
      </c>
      <c r="E283" s="18">
        <v>0</v>
      </c>
    </row>
    <row r="284" spans="1:5" x14ac:dyDescent="0.25">
      <c r="A284" s="18">
        <v>1977</v>
      </c>
      <c r="B284" s="18" t="s">
        <v>23</v>
      </c>
      <c r="C284" s="18">
        <v>0</v>
      </c>
      <c r="D284" s="18">
        <v>0</v>
      </c>
      <c r="E284" s="18">
        <v>0</v>
      </c>
    </row>
    <row r="285" spans="1:5" x14ac:dyDescent="0.25">
      <c r="A285" s="18">
        <v>1978</v>
      </c>
      <c r="B285" s="18" t="s">
        <v>23</v>
      </c>
      <c r="C285" s="18">
        <v>0</v>
      </c>
      <c r="D285" s="18">
        <v>0</v>
      </c>
      <c r="E285" s="18">
        <v>0</v>
      </c>
    </row>
    <row r="286" spans="1:5" x14ac:dyDescent="0.25">
      <c r="A286" s="18">
        <v>1979</v>
      </c>
      <c r="B286" s="18" t="s">
        <v>23</v>
      </c>
      <c r="C286" s="18">
        <v>0</v>
      </c>
      <c r="D286" s="18">
        <v>0</v>
      </c>
      <c r="E286" s="18">
        <v>0</v>
      </c>
    </row>
    <row r="287" spans="1:5" x14ac:dyDescent="0.25">
      <c r="A287" s="18">
        <v>1980</v>
      </c>
      <c r="B287" s="18" t="s">
        <v>23</v>
      </c>
      <c r="C287" s="18">
        <v>3023</v>
      </c>
      <c r="D287" s="18">
        <v>3184</v>
      </c>
      <c r="E287" s="18">
        <v>6208</v>
      </c>
    </row>
    <row r="288" spans="1:5" x14ac:dyDescent="0.25">
      <c r="A288" s="18">
        <v>1981</v>
      </c>
      <c r="B288" s="18" t="s">
        <v>23</v>
      </c>
      <c r="C288" s="18">
        <v>0</v>
      </c>
      <c r="D288" s="18">
        <v>0</v>
      </c>
      <c r="E288" s="18">
        <v>0</v>
      </c>
    </row>
    <row r="289" spans="1:5" x14ac:dyDescent="0.25">
      <c r="A289" s="18">
        <v>1982</v>
      </c>
      <c r="B289" s="18" t="s">
        <v>23</v>
      </c>
      <c r="C289" s="18">
        <v>0</v>
      </c>
      <c r="D289" s="18">
        <v>0</v>
      </c>
      <c r="E289" s="18">
        <v>0</v>
      </c>
    </row>
    <row r="290" spans="1:5" x14ac:dyDescent="0.25">
      <c r="A290" s="18">
        <v>1983</v>
      </c>
      <c r="B290" s="18" t="s">
        <v>23</v>
      </c>
      <c r="C290" s="18">
        <v>0</v>
      </c>
      <c r="D290" s="18">
        <v>0</v>
      </c>
      <c r="E290" s="18">
        <v>0</v>
      </c>
    </row>
    <row r="291" spans="1:5" x14ac:dyDescent="0.25">
      <c r="A291" s="18">
        <v>1984</v>
      </c>
      <c r="B291" s="18" t="s">
        <v>23</v>
      </c>
      <c r="C291" s="18">
        <v>0</v>
      </c>
      <c r="D291" s="18">
        <v>0</v>
      </c>
      <c r="E291" s="18">
        <v>0</v>
      </c>
    </row>
    <row r="292" spans="1:5" x14ac:dyDescent="0.25">
      <c r="A292" s="18">
        <v>1985</v>
      </c>
      <c r="B292" s="18" t="s">
        <v>23</v>
      </c>
      <c r="C292" s="18">
        <v>3203</v>
      </c>
      <c r="D292" s="18">
        <v>3229</v>
      </c>
      <c r="E292" s="18">
        <v>6431</v>
      </c>
    </row>
    <row r="293" spans="1:5" x14ac:dyDescent="0.25">
      <c r="A293" s="18">
        <v>1986</v>
      </c>
      <c r="B293" s="18" t="s">
        <v>23</v>
      </c>
      <c r="C293" s="18">
        <v>0</v>
      </c>
      <c r="D293" s="18">
        <v>0</v>
      </c>
      <c r="E293" s="18">
        <v>0</v>
      </c>
    </row>
    <row r="294" spans="1:5" x14ac:dyDescent="0.25">
      <c r="A294" s="18">
        <v>1987</v>
      </c>
      <c r="B294" s="18" t="s">
        <v>23</v>
      </c>
      <c r="C294" s="18">
        <v>0</v>
      </c>
      <c r="D294" s="18">
        <v>0</v>
      </c>
      <c r="E294" s="18">
        <v>0</v>
      </c>
    </row>
    <row r="295" spans="1:5" x14ac:dyDescent="0.25">
      <c r="A295" s="18">
        <v>1988</v>
      </c>
      <c r="B295" s="18" t="s">
        <v>23</v>
      </c>
      <c r="C295" s="18">
        <v>0</v>
      </c>
      <c r="D295" s="18">
        <v>0</v>
      </c>
      <c r="E295" s="18">
        <v>0</v>
      </c>
    </row>
    <row r="296" spans="1:5" x14ac:dyDescent="0.25">
      <c r="A296" s="18">
        <v>1989</v>
      </c>
      <c r="B296" s="18" t="s">
        <v>23</v>
      </c>
      <c r="C296" s="18">
        <v>0</v>
      </c>
      <c r="D296" s="18">
        <v>0</v>
      </c>
      <c r="E296" s="18">
        <v>0</v>
      </c>
    </row>
    <row r="297" spans="1:5" x14ac:dyDescent="0.25">
      <c r="A297" s="18">
        <v>1990</v>
      </c>
      <c r="B297" s="18" t="s">
        <v>23</v>
      </c>
      <c r="C297" s="18">
        <v>3722</v>
      </c>
      <c r="D297" s="18">
        <v>3780</v>
      </c>
      <c r="E297" s="18">
        <v>7501</v>
      </c>
    </row>
    <row r="298" spans="1:5" x14ac:dyDescent="0.25">
      <c r="A298" s="18">
        <v>1991</v>
      </c>
      <c r="B298" s="18" t="s">
        <v>23</v>
      </c>
      <c r="C298" s="18">
        <v>0</v>
      </c>
      <c r="D298" s="18">
        <v>0</v>
      </c>
      <c r="E298" s="18">
        <v>0</v>
      </c>
    </row>
    <row r="299" spans="1:5" x14ac:dyDescent="0.25">
      <c r="A299" s="18">
        <v>1992</v>
      </c>
      <c r="B299" s="18" t="s">
        <v>23</v>
      </c>
      <c r="C299" s="18">
        <v>0</v>
      </c>
      <c r="D299" s="18">
        <v>0</v>
      </c>
      <c r="E299" s="18">
        <v>0</v>
      </c>
    </row>
    <row r="300" spans="1:5" x14ac:dyDescent="0.25">
      <c r="A300" s="18">
        <v>1993</v>
      </c>
      <c r="B300" s="18" t="s">
        <v>23</v>
      </c>
      <c r="C300" s="18">
        <v>0</v>
      </c>
      <c r="D300" s="18">
        <v>0</v>
      </c>
      <c r="E300" s="18">
        <v>0</v>
      </c>
    </row>
    <row r="301" spans="1:5" x14ac:dyDescent="0.25">
      <c r="A301" s="18">
        <v>1994</v>
      </c>
      <c r="B301" s="18" t="s">
        <v>23</v>
      </c>
      <c r="C301" s="18">
        <v>0</v>
      </c>
      <c r="D301" s="18">
        <v>0</v>
      </c>
      <c r="E301" s="18">
        <v>0</v>
      </c>
    </row>
    <row r="302" spans="1:5" x14ac:dyDescent="0.25">
      <c r="A302" s="18">
        <v>1995</v>
      </c>
      <c r="B302" s="18" t="s">
        <v>23</v>
      </c>
      <c r="C302" s="18">
        <v>0</v>
      </c>
      <c r="D302" s="18">
        <v>0</v>
      </c>
      <c r="E302" s="18">
        <v>0</v>
      </c>
    </row>
    <row r="303" spans="1:5" x14ac:dyDescent="0.25">
      <c r="A303" s="18">
        <v>1996</v>
      </c>
      <c r="B303" s="18" t="s">
        <v>23</v>
      </c>
      <c r="C303" s="18">
        <v>0</v>
      </c>
      <c r="D303" s="18">
        <v>0</v>
      </c>
      <c r="E303" s="18">
        <v>0</v>
      </c>
    </row>
    <row r="304" spans="1:5" x14ac:dyDescent="0.25">
      <c r="A304" s="18">
        <v>1997</v>
      </c>
      <c r="B304" s="18" t="s">
        <v>23</v>
      </c>
      <c r="C304" s="18">
        <v>0</v>
      </c>
      <c r="D304" s="18">
        <v>0</v>
      </c>
      <c r="E304" s="18">
        <v>0</v>
      </c>
    </row>
    <row r="305" spans="1:5" x14ac:dyDescent="0.25">
      <c r="A305" s="18">
        <v>1998</v>
      </c>
      <c r="B305" s="18" t="s">
        <v>23</v>
      </c>
      <c r="C305" s="18">
        <v>0</v>
      </c>
      <c r="D305" s="18">
        <v>0</v>
      </c>
      <c r="E305" s="18">
        <v>0</v>
      </c>
    </row>
    <row r="306" spans="1:5" x14ac:dyDescent="0.25">
      <c r="A306" s="18">
        <v>1999</v>
      </c>
      <c r="B306" s="18" t="s">
        <v>23</v>
      </c>
      <c r="C306" s="18">
        <v>0</v>
      </c>
      <c r="D306" s="18">
        <v>0</v>
      </c>
      <c r="E306" s="18">
        <v>0</v>
      </c>
    </row>
    <row r="307" spans="1:5" x14ac:dyDescent="0.25">
      <c r="A307" s="18">
        <v>2000</v>
      </c>
      <c r="B307" s="18" t="s">
        <v>23</v>
      </c>
      <c r="C307" s="18">
        <v>3812</v>
      </c>
      <c r="D307" s="18">
        <v>4066</v>
      </c>
      <c r="E307" s="18">
        <v>7878</v>
      </c>
    </row>
    <row r="308" spans="1:5" x14ac:dyDescent="0.25">
      <c r="A308" s="18">
        <v>2001</v>
      </c>
      <c r="B308" s="18" t="s">
        <v>23</v>
      </c>
      <c r="C308" s="18">
        <v>0</v>
      </c>
      <c r="D308" s="18">
        <v>0</v>
      </c>
      <c r="E308" s="18">
        <v>0</v>
      </c>
    </row>
    <row r="309" spans="1:5" x14ac:dyDescent="0.25">
      <c r="A309" s="18">
        <v>2002</v>
      </c>
      <c r="B309" s="18" t="s">
        <v>23</v>
      </c>
      <c r="C309" s="18">
        <v>0</v>
      </c>
      <c r="D309" s="18">
        <v>0</v>
      </c>
      <c r="E309" s="18">
        <v>0</v>
      </c>
    </row>
    <row r="310" spans="1:5" x14ac:dyDescent="0.25">
      <c r="A310" s="18">
        <v>2003</v>
      </c>
      <c r="B310" s="18" t="s">
        <v>23</v>
      </c>
      <c r="C310" s="18">
        <v>0</v>
      </c>
      <c r="D310" s="18">
        <v>0</v>
      </c>
      <c r="E310" s="18">
        <v>0</v>
      </c>
    </row>
    <row r="311" spans="1:5" x14ac:dyDescent="0.25">
      <c r="A311" s="18">
        <v>2004</v>
      </c>
      <c r="B311" s="18" t="s">
        <v>23</v>
      </c>
      <c r="C311" s="18">
        <v>0</v>
      </c>
      <c r="D311" s="18">
        <v>0</v>
      </c>
      <c r="E311" s="18">
        <v>0</v>
      </c>
    </row>
    <row r="312" spans="1:5" x14ac:dyDescent="0.25">
      <c r="A312" s="18">
        <v>2005</v>
      </c>
      <c r="B312" s="18" t="s">
        <v>23</v>
      </c>
      <c r="C312" s="18">
        <v>0</v>
      </c>
      <c r="D312" s="18">
        <v>0</v>
      </c>
      <c r="E312" s="18">
        <v>0</v>
      </c>
    </row>
    <row r="313" spans="1:5" x14ac:dyDescent="0.25">
      <c r="A313" s="18">
        <v>2006</v>
      </c>
      <c r="B313" s="18" t="s">
        <v>23</v>
      </c>
      <c r="C313" s="18">
        <v>0</v>
      </c>
      <c r="D313" s="18">
        <v>0</v>
      </c>
      <c r="E313" s="18">
        <v>0</v>
      </c>
    </row>
    <row r="314" spans="1:5" x14ac:dyDescent="0.25">
      <c r="A314" s="18">
        <v>2007</v>
      </c>
      <c r="B314" s="18" t="s">
        <v>23</v>
      </c>
      <c r="C314" s="18">
        <v>0</v>
      </c>
      <c r="D314" s="18">
        <v>0</v>
      </c>
      <c r="E314" s="18">
        <v>0</v>
      </c>
    </row>
    <row r="315" spans="1:5" x14ac:dyDescent="0.25">
      <c r="A315" s="18">
        <v>2008</v>
      </c>
      <c r="B315" s="18" t="s">
        <v>23</v>
      </c>
      <c r="C315" s="18">
        <v>0</v>
      </c>
      <c r="D315" s="18">
        <v>0</v>
      </c>
      <c r="E315" s="18">
        <v>0</v>
      </c>
    </row>
    <row r="316" spans="1:5" x14ac:dyDescent="0.25">
      <c r="A316" s="18">
        <v>1950</v>
      </c>
      <c r="B316" s="18" t="s">
        <v>28</v>
      </c>
      <c r="C316" s="18">
        <v>0</v>
      </c>
      <c r="D316" s="18">
        <v>0</v>
      </c>
      <c r="E316" s="18">
        <v>0</v>
      </c>
    </row>
    <row r="317" spans="1:5" x14ac:dyDescent="0.25">
      <c r="A317" s="18">
        <v>1951</v>
      </c>
      <c r="B317" s="18" t="s">
        <v>28</v>
      </c>
      <c r="C317" s="18">
        <v>0</v>
      </c>
      <c r="D317" s="18">
        <v>0</v>
      </c>
      <c r="E317" s="18">
        <v>0</v>
      </c>
    </row>
    <row r="318" spans="1:5" x14ac:dyDescent="0.25">
      <c r="A318" s="18">
        <v>1952</v>
      </c>
      <c r="B318" s="18" t="s">
        <v>28</v>
      </c>
      <c r="C318" s="18">
        <v>0</v>
      </c>
      <c r="D318" s="18">
        <v>0</v>
      </c>
      <c r="E318" s="18">
        <v>0</v>
      </c>
    </row>
    <row r="319" spans="1:5" x14ac:dyDescent="0.25">
      <c r="A319" s="18">
        <v>1953</v>
      </c>
      <c r="B319" s="18" t="s">
        <v>28</v>
      </c>
      <c r="C319" s="18">
        <v>0</v>
      </c>
      <c r="D319" s="18">
        <v>0</v>
      </c>
      <c r="E319" s="18">
        <v>0</v>
      </c>
    </row>
    <row r="320" spans="1:5" x14ac:dyDescent="0.25">
      <c r="A320" s="18">
        <v>1954</v>
      </c>
      <c r="B320" s="18" t="s">
        <v>28</v>
      </c>
      <c r="C320" s="18">
        <v>0</v>
      </c>
      <c r="D320" s="18">
        <v>0</v>
      </c>
      <c r="E320" s="18">
        <v>0</v>
      </c>
    </row>
    <row r="321" spans="1:5" x14ac:dyDescent="0.25">
      <c r="A321" s="18">
        <v>1955</v>
      </c>
      <c r="B321" s="18" t="s">
        <v>28</v>
      </c>
      <c r="C321" s="18">
        <v>0</v>
      </c>
      <c r="D321" s="18">
        <v>0</v>
      </c>
      <c r="E321" s="18">
        <v>0</v>
      </c>
    </row>
    <row r="322" spans="1:5" x14ac:dyDescent="0.25">
      <c r="A322" s="18">
        <v>1956</v>
      </c>
      <c r="B322" s="18" t="s">
        <v>28</v>
      </c>
      <c r="C322" s="18">
        <v>0</v>
      </c>
      <c r="D322" s="18">
        <v>0</v>
      </c>
      <c r="E322" s="18">
        <v>0</v>
      </c>
    </row>
    <row r="323" spans="1:5" x14ac:dyDescent="0.25">
      <c r="A323" s="18">
        <v>1957</v>
      </c>
      <c r="B323" s="18" t="s">
        <v>28</v>
      </c>
      <c r="C323" s="18">
        <v>0</v>
      </c>
      <c r="D323" s="18">
        <v>0</v>
      </c>
      <c r="E323" s="18">
        <v>0</v>
      </c>
    </row>
    <row r="324" spans="1:5" x14ac:dyDescent="0.25">
      <c r="A324" s="18">
        <v>1958</v>
      </c>
      <c r="B324" s="18" t="s">
        <v>28</v>
      </c>
      <c r="C324" s="18">
        <v>0</v>
      </c>
      <c r="D324" s="18">
        <v>0</v>
      </c>
      <c r="E324" s="18">
        <v>0</v>
      </c>
    </row>
    <row r="325" spans="1:5" x14ac:dyDescent="0.25">
      <c r="A325" s="18">
        <v>1959</v>
      </c>
      <c r="B325" s="18" t="s">
        <v>28</v>
      </c>
      <c r="C325" s="18">
        <v>0</v>
      </c>
      <c r="D325" s="18">
        <v>0</v>
      </c>
      <c r="E325" s="18">
        <v>0</v>
      </c>
    </row>
    <row r="326" spans="1:5" x14ac:dyDescent="0.25">
      <c r="A326" s="18">
        <v>1960</v>
      </c>
      <c r="B326" s="18" t="s">
        <v>28</v>
      </c>
      <c r="C326" s="18">
        <v>0</v>
      </c>
      <c r="D326" s="18">
        <v>0</v>
      </c>
      <c r="E326" s="18">
        <v>0</v>
      </c>
    </row>
    <row r="327" spans="1:5" x14ac:dyDescent="0.25">
      <c r="A327" s="18">
        <v>1961</v>
      </c>
      <c r="B327" s="18" t="s">
        <v>28</v>
      </c>
      <c r="C327" s="18">
        <v>0</v>
      </c>
      <c r="D327" s="18">
        <v>0</v>
      </c>
      <c r="E327" s="18">
        <v>0</v>
      </c>
    </row>
    <row r="328" spans="1:5" x14ac:dyDescent="0.25">
      <c r="A328" s="18">
        <v>1962</v>
      </c>
      <c r="B328" s="18" t="s">
        <v>28</v>
      </c>
      <c r="C328" s="18">
        <v>0</v>
      </c>
      <c r="D328" s="18">
        <v>0</v>
      </c>
      <c r="E328" s="18">
        <v>0</v>
      </c>
    </row>
    <row r="329" spans="1:5" x14ac:dyDescent="0.25">
      <c r="A329" s="18">
        <v>1963</v>
      </c>
      <c r="B329" s="18" t="s">
        <v>28</v>
      </c>
      <c r="C329" s="18">
        <v>0</v>
      </c>
      <c r="D329" s="18">
        <v>0</v>
      </c>
      <c r="E329" s="18">
        <v>0</v>
      </c>
    </row>
    <row r="330" spans="1:5" x14ac:dyDescent="0.25">
      <c r="A330" s="18">
        <v>1964</v>
      </c>
      <c r="B330" s="18" t="s">
        <v>28</v>
      </c>
      <c r="C330" s="18">
        <v>0</v>
      </c>
      <c r="D330" s="18">
        <v>0</v>
      </c>
      <c r="E330" s="18">
        <v>0</v>
      </c>
    </row>
    <row r="331" spans="1:5" x14ac:dyDescent="0.25">
      <c r="A331" s="18">
        <v>1965</v>
      </c>
      <c r="B331" s="18" t="s">
        <v>28</v>
      </c>
      <c r="C331" s="18">
        <v>0</v>
      </c>
      <c r="D331" s="18">
        <v>0</v>
      </c>
      <c r="E331" s="18">
        <v>0</v>
      </c>
    </row>
    <row r="332" spans="1:5" x14ac:dyDescent="0.25">
      <c r="A332" s="18">
        <v>1966</v>
      </c>
      <c r="B332" s="18" t="s">
        <v>28</v>
      </c>
      <c r="C332" s="18">
        <v>0</v>
      </c>
      <c r="D332" s="18">
        <v>0</v>
      </c>
      <c r="E332" s="18">
        <v>0</v>
      </c>
    </row>
    <row r="333" spans="1:5" x14ac:dyDescent="0.25">
      <c r="A333" s="18">
        <v>1967</v>
      </c>
      <c r="B333" s="18" t="s">
        <v>28</v>
      </c>
      <c r="C333" s="18">
        <v>0</v>
      </c>
      <c r="D333" s="18">
        <v>0</v>
      </c>
      <c r="E333" s="18">
        <v>0</v>
      </c>
    </row>
    <row r="334" spans="1:5" x14ac:dyDescent="0.25">
      <c r="A334" s="18">
        <v>1968</v>
      </c>
      <c r="B334" s="18" t="s">
        <v>28</v>
      </c>
      <c r="C334" s="18">
        <v>0</v>
      </c>
      <c r="D334" s="18">
        <v>0</v>
      </c>
      <c r="E334" s="18">
        <v>0</v>
      </c>
    </row>
    <row r="335" spans="1:5" x14ac:dyDescent="0.25">
      <c r="A335" s="18">
        <v>1969</v>
      </c>
      <c r="B335" s="18" t="s">
        <v>28</v>
      </c>
      <c r="C335" s="18">
        <v>0</v>
      </c>
      <c r="D335" s="18">
        <v>0</v>
      </c>
      <c r="E335" s="18">
        <v>0</v>
      </c>
    </row>
    <row r="336" spans="1:5" x14ac:dyDescent="0.25">
      <c r="A336" s="18">
        <v>1970</v>
      </c>
      <c r="B336" s="18" t="s">
        <v>28</v>
      </c>
      <c r="C336" s="18">
        <v>0</v>
      </c>
      <c r="D336" s="18">
        <v>0</v>
      </c>
      <c r="E336" s="18">
        <v>0</v>
      </c>
    </row>
    <row r="337" spans="1:5" x14ac:dyDescent="0.25">
      <c r="A337" s="18">
        <v>1971</v>
      </c>
      <c r="B337" s="18" t="s">
        <v>28</v>
      </c>
      <c r="C337" s="18">
        <v>0</v>
      </c>
      <c r="D337" s="18">
        <v>0</v>
      </c>
      <c r="E337" s="18">
        <v>0</v>
      </c>
    </row>
    <row r="338" spans="1:5" x14ac:dyDescent="0.25">
      <c r="A338" s="18">
        <v>1972</v>
      </c>
      <c r="B338" s="18" t="s">
        <v>28</v>
      </c>
      <c r="C338" s="18">
        <v>0</v>
      </c>
      <c r="D338" s="18">
        <v>0</v>
      </c>
      <c r="E338" s="18">
        <v>0</v>
      </c>
    </row>
    <row r="339" spans="1:5" x14ac:dyDescent="0.25">
      <c r="A339" s="18">
        <v>1973</v>
      </c>
      <c r="B339" s="18" t="s">
        <v>28</v>
      </c>
      <c r="C339" s="18">
        <v>0</v>
      </c>
      <c r="D339" s="18">
        <v>0</v>
      </c>
      <c r="E339" s="18">
        <v>0</v>
      </c>
    </row>
    <row r="340" spans="1:5" x14ac:dyDescent="0.25">
      <c r="A340" s="18">
        <v>1974</v>
      </c>
      <c r="B340" s="18" t="s">
        <v>28</v>
      </c>
      <c r="C340" s="18">
        <v>0</v>
      </c>
      <c r="D340" s="18">
        <v>0</v>
      </c>
      <c r="E340" s="18">
        <v>0</v>
      </c>
    </row>
    <row r="341" spans="1:5" x14ac:dyDescent="0.25">
      <c r="A341" s="18">
        <v>1975</v>
      </c>
      <c r="B341" s="18" t="s">
        <v>28</v>
      </c>
      <c r="C341" s="18">
        <v>1285</v>
      </c>
      <c r="D341" s="18">
        <v>1254</v>
      </c>
      <c r="E341" s="18">
        <v>2537</v>
      </c>
    </row>
    <row r="342" spans="1:5" x14ac:dyDescent="0.25">
      <c r="A342" s="18">
        <v>1976</v>
      </c>
      <c r="B342" s="18" t="s">
        <v>28</v>
      </c>
      <c r="C342" s="18">
        <v>0</v>
      </c>
      <c r="D342" s="18">
        <v>0</v>
      </c>
      <c r="E342" s="18">
        <v>0</v>
      </c>
    </row>
    <row r="343" spans="1:5" x14ac:dyDescent="0.25">
      <c r="A343" s="18">
        <v>1977</v>
      </c>
      <c r="B343" s="18" t="s">
        <v>28</v>
      </c>
      <c r="C343" s="18">
        <v>0</v>
      </c>
      <c r="D343" s="18">
        <v>0</v>
      </c>
      <c r="E343" s="18">
        <v>0</v>
      </c>
    </row>
    <row r="344" spans="1:5" x14ac:dyDescent="0.25">
      <c r="A344" s="18">
        <v>1978</v>
      </c>
      <c r="B344" s="18" t="s">
        <v>28</v>
      </c>
      <c r="C344" s="18">
        <v>0</v>
      </c>
      <c r="D344" s="18">
        <v>0</v>
      </c>
      <c r="E344" s="18">
        <v>0</v>
      </c>
    </row>
    <row r="345" spans="1:5" x14ac:dyDescent="0.25">
      <c r="A345" s="18">
        <v>1979</v>
      </c>
      <c r="B345" s="18" t="s">
        <v>28</v>
      </c>
      <c r="C345" s="18">
        <v>0</v>
      </c>
      <c r="D345" s="18">
        <v>0</v>
      </c>
      <c r="E345" s="18">
        <v>0</v>
      </c>
    </row>
    <row r="346" spans="1:5" x14ac:dyDescent="0.25">
      <c r="A346" s="18">
        <v>1980</v>
      </c>
      <c r="B346" s="18" t="s">
        <v>28</v>
      </c>
      <c r="C346" s="18">
        <v>0</v>
      </c>
      <c r="D346" s="18">
        <v>0</v>
      </c>
      <c r="E346" s="18">
        <v>0</v>
      </c>
    </row>
    <row r="347" spans="1:5" x14ac:dyDescent="0.25">
      <c r="A347" s="18">
        <v>1981</v>
      </c>
      <c r="B347" s="18" t="s">
        <v>28</v>
      </c>
      <c r="C347" s="18">
        <v>0</v>
      </c>
      <c r="D347" s="18">
        <v>0</v>
      </c>
      <c r="E347" s="18">
        <v>0</v>
      </c>
    </row>
    <row r="348" spans="1:5" x14ac:dyDescent="0.25">
      <c r="A348" s="18">
        <v>1982</v>
      </c>
      <c r="B348" s="18" t="s">
        <v>28</v>
      </c>
      <c r="C348" s="18">
        <v>0</v>
      </c>
      <c r="D348" s="18">
        <v>0</v>
      </c>
      <c r="E348" s="18">
        <v>0</v>
      </c>
    </row>
    <row r="349" spans="1:5" x14ac:dyDescent="0.25">
      <c r="A349" s="18">
        <v>1983</v>
      </c>
      <c r="B349" s="18" t="s">
        <v>28</v>
      </c>
      <c r="C349" s="18">
        <v>0</v>
      </c>
      <c r="D349" s="18">
        <v>0</v>
      </c>
      <c r="E349" s="18">
        <v>0</v>
      </c>
    </row>
    <row r="350" spans="1:5" x14ac:dyDescent="0.25">
      <c r="A350" s="18">
        <v>1984</v>
      </c>
      <c r="B350" s="18" t="s">
        <v>28</v>
      </c>
      <c r="C350" s="18">
        <v>0</v>
      </c>
      <c r="D350" s="18">
        <v>0</v>
      </c>
      <c r="E350" s="18">
        <v>0</v>
      </c>
    </row>
    <row r="351" spans="1:5" x14ac:dyDescent="0.25">
      <c r="A351" s="18">
        <v>1985</v>
      </c>
      <c r="B351" s="18" t="s">
        <v>28</v>
      </c>
      <c r="C351" s="18">
        <v>515</v>
      </c>
      <c r="D351" s="18">
        <v>602</v>
      </c>
      <c r="E351" s="18">
        <v>1118</v>
      </c>
    </row>
    <row r="352" spans="1:5" x14ac:dyDescent="0.25">
      <c r="A352" s="18">
        <v>1986</v>
      </c>
      <c r="B352" s="18" t="s">
        <v>28</v>
      </c>
      <c r="C352" s="18">
        <v>0</v>
      </c>
      <c r="D352" s="18">
        <v>0</v>
      </c>
      <c r="E352" s="18">
        <v>0</v>
      </c>
    </row>
    <row r="353" spans="1:5" x14ac:dyDescent="0.25">
      <c r="A353" s="18">
        <v>1987</v>
      </c>
      <c r="B353" s="18" t="s">
        <v>28</v>
      </c>
      <c r="C353" s="18">
        <v>0</v>
      </c>
      <c r="D353" s="18">
        <v>0</v>
      </c>
      <c r="E353" s="18">
        <v>0</v>
      </c>
    </row>
    <row r="354" spans="1:5" x14ac:dyDescent="0.25">
      <c r="A354" s="18">
        <v>1988</v>
      </c>
      <c r="B354" s="18" t="s">
        <v>28</v>
      </c>
      <c r="C354" s="18">
        <v>0</v>
      </c>
      <c r="D354" s="18">
        <v>0</v>
      </c>
      <c r="E354" s="18">
        <v>0</v>
      </c>
    </row>
    <row r="355" spans="1:5" x14ac:dyDescent="0.25">
      <c r="A355" s="18">
        <v>1989</v>
      </c>
      <c r="B355" s="18" t="s">
        <v>28</v>
      </c>
      <c r="C355" s="18">
        <v>0</v>
      </c>
      <c r="D355" s="18">
        <v>0</v>
      </c>
      <c r="E355" s="18">
        <v>0</v>
      </c>
    </row>
    <row r="356" spans="1:5" x14ac:dyDescent="0.25">
      <c r="A356" s="18">
        <v>1990</v>
      </c>
      <c r="B356" s="18" t="s">
        <v>28</v>
      </c>
      <c r="C356" s="18">
        <v>999</v>
      </c>
      <c r="D356" s="18">
        <v>1034</v>
      </c>
      <c r="E356" s="18">
        <v>2033</v>
      </c>
    </row>
    <row r="357" spans="1:5" x14ac:dyDescent="0.25">
      <c r="A357" s="18">
        <v>1991</v>
      </c>
      <c r="B357" s="18" t="s">
        <v>28</v>
      </c>
      <c r="C357" s="18">
        <v>0</v>
      </c>
      <c r="D357" s="18">
        <v>0</v>
      </c>
      <c r="E357" s="18">
        <v>0</v>
      </c>
    </row>
    <row r="358" spans="1:5" x14ac:dyDescent="0.25">
      <c r="A358" s="18">
        <v>1992</v>
      </c>
      <c r="B358" s="18" t="s">
        <v>28</v>
      </c>
      <c r="C358" s="18">
        <v>0</v>
      </c>
      <c r="D358" s="18">
        <v>0</v>
      </c>
      <c r="E358" s="18">
        <v>0</v>
      </c>
    </row>
    <row r="359" spans="1:5" x14ac:dyDescent="0.25">
      <c r="A359" s="18">
        <v>1993</v>
      </c>
      <c r="B359" s="18" t="s">
        <v>28</v>
      </c>
      <c r="C359" s="18">
        <v>0</v>
      </c>
      <c r="D359" s="18">
        <v>0</v>
      </c>
      <c r="E359" s="18">
        <v>0</v>
      </c>
    </row>
    <row r="360" spans="1:5" x14ac:dyDescent="0.25">
      <c r="A360" s="18">
        <v>1994</v>
      </c>
      <c r="B360" s="18" t="s">
        <v>28</v>
      </c>
      <c r="C360" s="18">
        <v>0</v>
      </c>
      <c r="D360" s="18">
        <v>0</v>
      </c>
      <c r="E360" s="18">
        <v>0</v>
      </c>
    </row>
    <row r="361" spans="1:5" x14ac:dyDescent="0.25">
      <c r="A361" s="18">
        <v>1995</v>
      </c>
      <c r="B361" s="18" t="s">
        <v>28</v>
      </c>
      <c r="C361" s="18">
        <v>0</v>
      </c>
      <c r="D361" s="18">
        <v>0</v>
      </c>
      <c r="E361" s="18">
        <v>0</v>
      </c>
    </row>
    <row r="362" spans="1:5" x14ac:dyDescent="0.25">
      <c r="A362" s="18">
        <v>1996</v>
      </c>
      <c r="B362" s="18" t="s">
        <v>28</v>
      </c>
      <c r="C362" s="18">
        <v>0</v>
      </c>
      <c r="D362" s="18">
        <v>0</v>
      </c>
      <c r="E362" s="18">
        <v>0</v>
      </c>
    </row>
    <row r="363" spans="1:5" x14ac:dyDescent="0.25">
      <c r="A363" s="18">
        <v>1997</v>
      </c>
      <c r="B363" s="18" t="s">
        <v>28</v>
      </c>
      <c r="C363" s="18">
        <v>0</v>
      </c>
      <c r="D363" s="18">
        <v>0</v>
      </c>
      <c r="E363" s="18">
        <v>0</v>
      </c>
    </row>
    <row r="364" spans="1:5" x14ac:dyDescent="0.25">
      <c r="A364" s="18">
        <v>1998</v>
      </c>
      <c r="B364" s="18" t="s">
        <v>28</v>
      </c>
      <c r="C364" s="18">
        <v>0</v>
      </c>
      <c r="D364" s="18">
        <v>0</v>
      </c>
      <c r="E364" s="18">
        <v>0</v>
      </c>
    </row>
    <row r="365" spans="1:5" x14ac:dyDescent="0.25">
      <c r="A365" s="18">
        <v>1999</v>
      </c>
      <c r="B365" s="18" t="s">
        <v>28</v>
      </c>
      <c r="C365" s="18">
        <v>0</v>
      </c>
      <c r="D365" s="18">
        <v>0</v>
      </c>
      <c r="E365" s="18">
        <v>0</v>
      </c>
    </row>
    <row r="366" spans="1:5" x14ac:dyDescent="0.25">
      <c r="A366" s="18">
        <v>2000</v>
      </c>
      <c r="B366" s="18" t="s">
        <v>28</v>
      </c>
      <c r="C366" s="18">
        <v>1235</v>
      </c>
      <c r="D366" s="18">
        <v>1411</v>
      </c>
      <c r="E366" s="18">
        <v>2647</v>
      </c>
    </row>
    <row r="367" spans="1:5" x14ac:dyDescent="0.25">
      <c r="A367" s="18">
        <v>2001</v>
      </c>
      <c r="B367" s="18" t="s">
        <v>28</v>
      </c>
      <c r="C367" s="18">
        <v>0</v>
      </c>
      <c r="D367" s="18">
        <v>0</v>
      </c>
      <c r="E367" s="18">
        <v>0</v>
      </c>
    </row>
    <row r="368" spans="1:5" x14ac:dyDescent="0.25">
      <c r="A368" s="18">
        <v>2002</v>
      </c>
      <c r="B368" s="18" t="s">
        <v>28</v>
      </c>
      <c r="C368" s="18">
        <v>0</v>
      </c>
      <c r="D368" s="18">
        <v>0</v>
      </c>
      <c r="E368" s="18">
        <v>0</v>
      </c>
    </row>
    <row r="369" spans="1:5" x14ac:dyDescent="0.25">
      <c r="A369" s="18">
        <v>2003</v>
      </c>
      <c r="B369" s="18" t="s">
        <v>28</v>
      </c>
      <c r="C369" s="18">
        <v>0</v>
      </c>
      <c r="D369" s="18">
        <v>0</v>
      </c>
      <c r="E369" s="18">
        <v>0</v>
      </c>
    </row>
    <row r="370" spans="1:5" x14ac:dyDescent="0.25">
      <c r="A370" s="18">
        <v>2004</v>
      </c>
      <c r="B370" s="18" t="s">
        <v>28</v>
      </c>
      <c r="C370" s="18">
        <v>0</v>
      </c>
      <c r="D370" s="18">
        <v>0</v>
      </c>
      <c r="E370" s="18">
        <v>0</v>
      </c>
    </row>
    <row r="371" spans="1:5" x14ac:dyDescent="0.25">
      <c r="A371" s="18">
        <v>2005</v>
      </c>
      <c r="B371" s="18" t="s">
        <v>28</v>
      </c>
      <c r="C371" s="18">
        <v>0</v>
      </c>
      <c r="D371" s="18">
        <v>0</v>
      </c>
      <c r="E371" s="18">
        <v>0</v>
      </c>
    </row>
    <row r="372" spans="1:5" x14ac:dyDescent="0.25">
      <c r="A372" s="18">
        <v>2006</v>
      </c>
      <c r="B372" s="18" t="s">
        <v>28</v>
      </c>
      <c r="C372" s="18">
        <v>0</v>
      </c>
      <c r="D372" s="18">
        <v>0</v>
      </c>
      <c r="E372" s="18">
        <v>0</v>
      </c>
    </row>
    <row r="373" spans="1:5" x14ac:dyDescent="0.25">
      <c r="A373" s="18">
        <v>2007</v>
      </c>
      <c r="B373" s="18" t="s">
        <v>28</v>
      </c>
      <c r="C373" s="18">
        <v>0</v>
      </c>
      <c r="D373" s="18">
        <v>0</v>
      </c>
      <c r="E373" s="18">
        <v>0</v>
      </c>
    </row>
    <row r="374" spans="1:5" x14ac:dyDescent="0.25">
      <c r="A374" s="18">
        <v>2008</v>
      </c>
      <c r="B374" s="18" t="s">
        <v>28</v>
      </c>
      <c r="C374" s="18">
        <v>0</v>
      </c>
      <c r="D374" s="18">
        <v>0</v>
      </c>
      <c r="E374" s="18">
        <v>0</v>
      </c>
    </row>
    <row r="375" spans="1:5" x14ac:dyDescent="0.25">
      <c r="A375" s="18">
        <v>1950</v>
      </c>
      <c r="B375" s="18" t="s">
        <v>30</v>
      </c>
      <c r="C375" s="18">
        <v>0</v>
      </c>
      <c r="D375" s="18">
        <v>0</v>
      </c>
      <c r="E375" s="18">
        <v>0</v>
      </c>
    </row>
    <row r="376" spans="1:5" x14ac:dyDescent="0.25">
      <c r="A376" s="18">
        <v>1951</v>
      </c>
      <c r="B376" s="18" t="s">
        <v>30</v>
      </c>
      <c r="C376" s="18">
        <v>0</v>
      </c>
      <c r="D376" s="18">
        <v>0</v>
      </c>
      <c r="E376" s="18">
        <v>0</v>
      </c>
    </row>
    <row r="377" spans="1:5" x14ac:dyDescent="0.25">
      <c r="A377" s="18">
        <v>1952</v>
      </c>
      <c r="B377" s="18" t="s">
        <v>30</v>
      </c>
      <c r="C377" s="18">
        <v>0</v>
      </c>
      <c r="D377" s="18">
        <v>0</v>
      </c>
      <c r="E377" s="18">
        <v>0</v>
      </c>
    </row>
    <row r="378" spans="1:5" x14ac:dyDescent="0.25">
      <c r="A378" s="18">
        <v>1953</v>
      </c>
      <c r="B378" s="18" t="s">
        <v>30</v>
      </c>
      <c r="C378" s="18">
        <v>0</v>
      </c>
      <c r="D378" s="18">
        <v>0</v>
      </c>
      <c r="E378" s="18">
        <v>0</v>
      </c>
    </row>
    <row r="379" spans="1:5" x14ac:dyDescent="0.25">
      <c r="A379" s="18">
        <v>1954</v>
      </c>
      <c r="B379" s="18" t="s">
        <v>30</v>
      </c>
      <c r="C379" s="18">
        <v>0</v>
      </c>
      <c r="D379" s="18">
        <v>0</v>
      </c>
      <c r="E379" s="18">
        <v>0</v>
      </c>
    </row>
    <row r="380" spans="1:5" x14ac:dyDescent="0.25">
      <c r="A380" s="18">
        <v>1955</v>
      </c>
      <c r="B380" s="18" t="s">
        <v>30</v>
      </c>
      <c r="C380" s="18">
        <v>0</v>
      </c>
      <c r="D380" s="18">
        <v>0</v>
      </c>
      <c r="E380" s="18">
        <v>0</v>
      </c>
    </row>
    <row r="381" spans="1:5" x14ac:dyDescent="0.25">
      <c r="A381" s="18">
        <v>1956</v>
      </c>
      <c r="B381" s="18" t="s">
        <v>30</v>
      </c>
      <c r="C381" s="18">
        <v>0</v>
      </c>
      <c r="D381" s="18">
        <v>0</v>
      </c>
      <c r="E381" s="18">
        <v>0</v>
      </c>
    </row>
    <row r="382" spans="1:5" x14ac:dyDescent="0.25">
      <c r="A382" s="18">
        <v>1957</v>
      </c>
      <c r="B382" s="18" t="s">
        <v>30</v>
      </c>
      <c r="C382" s="18">
        <v>0</v>
      </c>
      <c r="D382" s="18">
        <v>0</v>
      </c>
      <c r="E382" s="18">
        <v>0</v>
      </c>
    </row>
    <row r="383" spans="1:5" x14ac:dyDescent="0.25">
      <c r="A383" s="18">
        <v>1958</v>
      </c>
      <c r="B383" s="18" t="s">
        <v>30</v>
      </c>
      <c r="C383" s="18">
        <v>0</v>
      </c>
      <c r="D383" s="18">
        <v>0</v>
      </c>
      <c r="E383" s="18">
        <v>0</v>
      </c>
    </row>
    <row r="384" spans="1:5" x14ac:dyDescent="0.25">
      <c r="A384" s="18">
        <v>1959</v>
      </c>
      <c r="B384" s="18" t="s">
        <v>30</v>
      </c>
      <c r="C384" s="18">
        <v>0</v>
      </c>
      <c r="D384" s="18">
        <v>0</v>
      </c>
      <c r="E384" s="18">
        <v>0</v>
      </c>
    </row>
    <row r="385" spans="1:5" x14ac:dyDescent="0.25">
      <c r="A385" s="18">
        <v>1960</v>
      </c>
      <c r="B385" s="18" t="s">
        <v>30</v>
      </c>
      <c r="C385" s="18">
        <v>0</v>
      </c>
      <c r="D385" s="18">
        <v>0</v>
      </c>
      <c r="E385" s="18">
        <v>0</v>
      </c>
    </row>
    <row r="386" spans="1:5" x14ac:dyDescent="0.25">
      <c r="A386" s="18">
        <v>1961</v>
      </c>
      <c r="B386" s="18" t="s">
        <v>30</v>
      </c>
      <c r="C386" s="18">
        <v>0</v>
      </c>
      <c r="D386" s="18">
        <v>0</v>
      </c>
      <c r="E386" s="18">
        <v>0</v>
      </c>
    </row>
    <row r="387" spans="1:5" x14ac:dyDescent="0.25">
      <c r="A387" s="18">
        <v>1962</v>
      </c>
      <c r="B387" s="18" t="s">
        <v>30</v>
      </c>
      <c r="C387" s="18">
        <v>0</v>
      </c>
      <c r="D387" s="18">
        <v>0</v>
      </c>
      <c r="E387" s="18">
        <v>0</v>
      </c>
    </row>
    <row r="388" spans="1:5" x14ac:dyDescent="0.25">
      <c r="A388" s="18">
        <v>1963</v>
      </c>
      <c r="B388" s="18" t="s">
        <v>30</v>
      </c>
      <c r="C388" s="18">
        <v>0</v>
      </c>
      <c r="D388" s="18">
        <v>0</v>
      </c>
      <c r="E388" s="18">
        <v>0</v>
      </c>
    </row>
    <row r="389" spans="1:5" x14ac:dyDescent="0.25">
      <c r="A389" s="18">
        <v>1964</v>
      </c>
      <c r="B389" s="18" t="s">
        <v>30</v>
      </c>
      <c r="C389" s="18">
        <v>0</v>
      </c>
      <c r="D389" s="18">
        <v>0</v>
      </c>
      <c r="E389" s="18">
        <v>0</v>
      </c>
    </row>
    <row r="390" spans="1:5" x14ac:dyDescent="0.25">
      <c r="A390" s="18">
        <v>1965</v>
      </c>
      <c r="B390" s="18" t="s">
        <v>30</v>
      </c>
      <c r="C390" s="18">
        <v>0</v>
      </c>
      <c r="D390" s="18">
        <v>0</v>
      </c>
      <c r="E390" s="18">
        <v>0</v>
      </c>
    </row>
    <row r="391" spans="1:5" x14ac:dyDescent="0.25">
      <c r="A391" s="18">
        <v>1966</v>
      </c>
      <c r="B391" s="18" t="s">
        <v>30</v>
      </c>
      <c r="C391" s="18">
        <v>0</v>
      </c>
      <c r="D391" s="18">
        <v>0</v>
      </c>
      <c r="E391" s="18">
        <v>0</v>
      </c>
    </row>
    <row r="392" spans="1:5" x14ac:dyDescent="0.25">
      <c r="A392" s="18">
        <v>1967</v>
      </c>
      <c r="B392" s="18" t="s">
        <v>30</v>
      </c>
      <c r="C392" s="18">
        <v>0</v>
      </c>
      <c r="D392" s="18">
        <v>0</v>
      </c>
      <c r="E392" s="18">
        <v>0</v>
      </c>
    </row>
    <row r="393" spans="1:5" x14ac:dyDescent="0.25">
      <c r="A393" s="18">
        <v>1968</v>
      </c>
      <c r="B393" s="18" t="s">
        <v>30</v>
      </c>
      <c r="C393" s="18">
        <v>0</v>
      </c>
      <c r="D393" s="18">
        <v>0</v>
      </c>
      <c r="E393" s="18">
        <v>0</v>
      </c>
    </row>
    <row r="394" spans="1:5" x14ac:dyDescent="0.25">
      <c r="A394" s="18">
        <v>1969</v>
      </c>
      <c r="B394" s="18" t="s">
        <v>30</v>
      </c>
      <c r="C394" s="18">
        <v>0</v>
      </c>
      <c r="D394" s="18">
        <v>0</v>
      </c>
      <c r="E394" s="18">
        <v>0</v>
      </c>
    </row>
    <row r="395" spans="1:5" x14ac:dyDescent="0.25">
      <c r="A395" s="18">
        <v>1970</v>
      </c>
      <c r="B395" s="18" t="s">
        <v>30</v>
      </c>
      <c r="C395" s="18">
        <v>0</v>
      </c>
      <c r="D395" s="18">
        <v>0</v>
      </c>
      <c r="E395" s="18">
        <v>0</v>
      </c>
    </row>
    <row r="396" spans="1:5" x14ac:dyDescent="0.25">
      <c r="A396" s="18">
        <v>1971</v>
      </c>
      <c r="B396" s="18" t="s">
        <v>30</v>
      </c>
      <c r="C396" s="18">
        <v>0</v>
      </c>
      <c r="D396" s="18">
        <v>0</v>
      </c>
      <c r="E396" s="18">
        <v>0</v>
      </c>
    </row>
    <row r="397" spans="1:5" x14ac:dyDescent="0.25">
      <c r="A397" s="18">
        <v>1972</v>
      </c>
      <c r="B397" s="18" t="s">
        <v>30</v>
      </c>
      <c r="C397" s="18">
        <v>0</v>
      </c>
      <c r="D397" s="18">
        <v>0</v>
      </c>
      <c r="E397" s="18">
        <v>0</v>
      </c>
    </row>
    <row r="398" spans="1:5" x14ac:dyDescent="0.25">
      <c r="A398" s="18">
        <v>1973</v>
      </c>
      <c r="B398" s="18" t="s">
        <v>30</v>
      </c>
      <c r="C398" s="18">
        <v>0</v>
      </c>
      <c r="D398" s="18">
        <v>0</v>
      </c>
      <c r="E398" s="18">
        <v>0</v>
      </c>
    </row>
    <row r="399" spans="1:5" x14ac:dyDescent="0.25">
      <c r="A399" s="18">
        <v>1974</v>
      </c>
      <c r="B399" s="18" t="s">
        <v>30</v>
      </c>
      <c r="C399" s="18">
        <v>0</v>
      </c>
      <c r="D399" s="18">
        <v>0</v>
      </c>
      <c r="E399" s="18">
        <v>0</v>
      </c>
    </row>
    <row r="400" spans="1:5" x14ac:dyDescent="0.25">
      <c r="A400" s="18">
        <v>1975</v>
      </c>
      <c r="B400" s="18" t="s">
        <v>30</v>
      </c>
      <c r="C400" s="18">
        <v>2180</v>
      </c>
      <c r="D400" s="18">
        <v>1680</v>
      </c>
      <c r="E400" s="18">
        <v>3846</v>
      </c>
    </row>
    <row r="401" spans="1:5" x14ac:dyDescent="0.25">
      <c r="A401" s="18">
        <v>1976</v>
      </c>
      <c r="B401" s="18" t="s">
        <v>30</v>
      </c>
      <c r="C401" s="18">
        <v>0</v>
      </c>
      <c r="D401" s="18">
        <v>0</v>
      </c>
      <c r="E401" s="18">
        <v>0</v>
      </c>
    </row>
    <row r="402" spans="1:5" x14ac:dyDescent="0.25">
      <c r="A402" s="18">
        <v>1977</v>
      </c>
      <c r="B402" s="18" t="s">
        <v>30</v>
      </c>
      <c r="C402" s="18">
        <v>0</v>
      </c>
      <c r="D402" s="18">
        <v>0</v>
      </c>
      <c r="E402" s="18">
        <v>0</v>
      </c>
    </row>
    <row r="403" spans="1:5" x14ac:dyDescent="0.25">
      <c r="A403" s="18">
        <v>1978</v>
      </c>
      <c r="B403" s="18" t="s">
        <v>30</v>
      </c>
      <c r="C403" s="18">
        <v>0</v>
      </c>
      <c r="D403" s="18">
        <v>0</v>
      </c>
      <c r="E403" s="18">
        <v>0</v>
      </c>
    </row>
    <row r="404" spans="1:5" x14ac:dyDescent="0.25">
      <c r="A404" s="18">
        <v>1979</v>
      </c>
      <c r="B404" s="18" t="s">
        <v>30</v>
      </c>
      <c r="C404" s="18">
        <v>0</v>
      </c>
      <c r="D404" s="18">
        <v>0</v>
      </c>
      <c r="E404" s="18">
        <v>0</v>
      </c>
    </row>
    <row r="405" spans="1:5" x14ac:dyDescent="0.25">
      <c r="A405" s="18">
        <v>1980</v>
      </c>
      <c r="B405" s="18" t="s">
        <v>30</v>
      </c>
      <c r="C405" s="18">
        <v>1204</v>
      </c>
      <c r="D405" s="18">
        <v>1317</v>
      </c>
      <c r="E405" s="18">
        <v>2522</v>
      </c>
    </row>
    <row r="406" spans="1:5" x14ac:dyDescent="0.25">
      <c r="A406" s="18">
        <v>1981</v>
      </c>
      <c r="B406" s="18" t="s">
        <v>30</v>
      </c>
      <c r="C406" s="18">
        <v>0</v>
      </c>
      <c r="D406" s="18">
        <v>0</v>
      </c>
      <c r="E406" s="18">
        <v>0</v>
      </c>
    </row>
    <row r="407" spans="1:5" x14ac:dyDescent="0.25">
      <c r="A407" s="18">
        <v>1982</v>
      </c>
      <c r="B407" s="18" t="s">
        <v>30</v>
      </c>
      <c r="C407" s="18">
        <v>0</v>
      </c>
      <c r="D407" s="18">
        <v>0</v>
      </c>
      <c r="E407" s="18">
        <v>0</v>
      </c>
    </row>
    <row r="408" spans="1:5" x14ac:dyDescent="0.25">
      <c r="A408" s="18">
        <v>1983</v>
      </c>
      <c r="B408" s="18" t="s">
        <v>30</v>
      </c>
      <c r="C408" s="18">
        <v>0</v>
      </c>
      <c r="D408" s="18">
        <v>0</v>
      </c>
      <c r="E408" s="18">
        <v>0</v>
      </c>
    </row>
    <row r="409" spans="1:5" x14ac:dyDescent="0.25">
      <c r="A409" s="18">
        <v>1984</v>
      </c>
      <c r="B409" s="18" t="s">
        <v>30</v>
      </c>
      <c r="C409" s="18">
        <v>0</v>
      </c>
      <c r="D409" s="18">
        <v>0</v>
      </c>
      <c r="E409" s="18">
        <v>0</v>
      </c>
    </row>
    <row r="410" spans="1:5" x14ac:dyDescent="0.25">
      <c r="A410" s="18">
        <v>1985</v>
      </c>
      <c r="B410" s="18" t="s">
        <v>30</v>
      </c>
      <c r="C410" s="18">
        <v>1208</v>
      </c>
      <c r="D410" s="18">
        <v>1340</v>
      </c>
      <c r="E410" s="18">
        <v>2549</v>
      </c>
    </row>
    <row r="411" spans="1:5" x14ac:dyDescent="0.25">
      <c r="A411" s="18">
        <v>1986</v>
      </c>
      <c r="B411" s="18" t="s">
        <v>30</v>
      </c>
      <c r="C411" s="18">
        <v>0</v>
      </c>
      <c r="D411" s="18">
        <v>0</v>
      </c>
      <c r="E411" s="18">
        <v>0</v>
      </c>
    </row>
    <row r="412" spans="1:5" x14ac:dyDescent="0.25">
      <c r="A412" s="18">
        <v>1987</v>
      </c>
      <c r="B412" s="18" t="s">
        <v>30</v>
      </c>
      <c r="C412" s="18">
        <v>0</v>
      </c>
      <c r="D412" s="18">
        <v>0</v>
      </c>
      <c r="E412" s="18">
        <v>0</v>
      </c>
    </row>
    <row r="413" spans="1:5" x14ac:dyDescent="0.25">
      <c r="A413" s="18">
        <v>1988</v>
      </c>
      <c r="B413" s="18" t="s">
        <v>30</v>
      </c>
      <c r="C413" s="18">
        <v>0</v>
      </c>
      <c r="D413" s="18">
        <v>0</v>
      </c>
      <c r="E413" s="18">
        <v>0</v>
      </c>
    </row>
    <row r="414" spans="1:5" x14ac:dyDescent="0.25">
      <c r="A414" s="18">
        <v>1989</v>
      </c>
      <c r="B414" s="18" t="s">
        <v>30</v>
      </c>
      <c r="C414" s="18">
        <v>0</v>
      </c>
      <c r="D414" s="18">
        <v>0</v>
      </c>
      <c r="E414" s="18">
        <v>0</v>
      </c>
    </row>
    <row r="415" spans="1:5" x14ac:dyDescent="0.25">
      <c r="A415" s="18">
        <v>1990</v>
      </c>
      <c r="B415" s="18" t="s">
        <v>30</v>
      </c>
      <c r="C415" s="18">
        <v>1597</v>
      </c>
      <c r="D415" s="18">
        <v>1666</v>
      </c>
      <c r="E415" s="18">
        <v>3263</v>
      </c>
    </row>
    <row r="416" spans="1:5" x14ac:dyDescent="0.25">
      <c r="A416" s="18">
        <v>1991</v>
      </c>
      <c r="B416" s="18" t="s">
        <v>30</v>
      </c>
      <c r="C416" s="18">
        <v>0</v>
      </c>
      <c r="D416" s="18">
        <v>0</v>
      </c>
      <c r="E416" s="18">
        <v>0</v>
      </c>
    </row>
    <row r="417" spans="1:5" x14ac:dyDescent="0.25">
      <c r="A417" s="18">
        <v>1992</v>
      </c>
      <c r="B417" s="18" t="s">
        <v>30</v>
      </c>
      <c r="C417" s="18">
        <v>0</v>
      </c>
      <c r="D417" s="18">
        <v>0</v>
      </c>
      <c r="E417" s="18">
        <v>0</v>
      </c>
    </row>
    <row r="418" spans="1:5" x14ac:dyDescent="0.25">
      <c r="A418" s="18">
        <v>1993</v>
      </c>
      <c r="B418" s="18" t="s">
        <v>30</v>
      </c>
      <c r="C418" s="18">
        <v>0</v>
      </c>
      <c r="D418" s="18">
        <v>0</v>
      </c>
      <c r="E418" s="18">
        <v>0</v>
      </c>
    </row>
    <row r="419" spans="1:5" x14ac:dyDescent="0.25">
      <c r="A419" s="18">
        <v>1994</v>
      </c>
      <c r="B419" s="18" t="s">
        <v>30</v>
      </c>
      <c r="C419" s="18">
        <v>0</v>
      </c>
      <c r="D419" s="18">
        <v>0</v>
      </c>
      <c r="E419" s="18">
        <v>0</v>
      </c>
    </row>
    <row r="420" spans="1:5" x14ac:dyDescent="0.25">
      <c r="A420" s="18">
        <v>1995</v>
      </c>
      <c r="B420" s="18" t="s">
        <v>30</v>
      </c>
      <c r="C420" s="18">
        <v>0</v>
      </c>
      <c r="D420" s="18">
        <v>0</v>
      </c>
      <c r="E420" s="18">
        <v>0</v>
      </c>
    </row>
    <row r="421" spans="1:5" x14ac:dyDescent="0.25">
      <c r="A421" s="18">
        <v>1996</v>
      </c>
      <c r="B421" s="18" t="s">
        <v>30</v>
      </c>
      <c r="C421" s="18">
        <v>0</v>
      </c>
      <c r="D421" s="18">
        <v>0</v>
      </c>
      <c r="E421" s="18">
        <v>0</v>
      </c>
    </row>
    <row r="422" spans="1:5" x14ac:dyDescent="0.25">
      <c r="A422" s="18">
        <v>1997</v>
      </c>
      <c r="B422" s="18" t="s">
        <v>30</v>
      </c>
      <c r="C422" s="18">
        <v>0</v>
      </c>
      <c r="D422" s="18">
        <v>0</v>
      </c>
      <c r="E422" s="18">
        <v>0</v>
      </c>
    </row>
    <row r="423" spans="1:5" x14ac:dyDescent="0.25">
      <c r="A423" s="18">
        <v>1998</v>
      </c>
      <c r="B423" s="18" t="s">
        <v>30</v>
      </c>
      <c r="C423" s="18">
        <v>0</v>
      </c>
      <c r="D423" s="18">
        <v>0</v>
      </c>
      <c r="E423" s="18">
        <v>0</v>
      </c>
    </row>
    <row r="424" spans="1:5" x14ac:dyDescent="0.25">
      <c r="A424" s="18">
        <v>1999</v>
      </c>
      <c r="B424" s="18" t="s">
        <v>30</v>
      </c>
      <c r="C424" s="18">
        <v>0</v>
      </c>
      <c r="D424" s="18">
        <v>0</v>
      </c>
      <c r="E424" s="18">
        <v>0</v>
      </c>
    </row>
    <row r="425" spans="1:5" x14ac:dyDescent="0.25">
      <c r="A425" s="18">
        <v>2000</v>
      </c>
      <c r="B425" s="18" t="s">
        <v>30</v>
      </c>
      <c r="C425" s="18">
        <v>906</v>
      </c>
      <c r="D425" s="18">
        <v>943</v>
      </c>
      <c r="E425" s="18">
        <v>1849</v>
      </c>
    </row>
    <row r="426" spans="1:5" x14ac:dyDescent="0.25">
      <c r="A426" s="18">
        <v>2001</v>
      </c>
      <c r="B426" s="18" t="s">
        <v>30</v>
      </c>
      <c r="C426" s="18">
        <v>0</v>
      </c>
      <c r="D426" s="18">
        <v>0</v>
      </c>
      <c r="E426" s="18">
        <v>0</v>
      </c>
    </row>
    <row r="427" spans="1:5" x14ac:dyDescent="0.25">
      <c r="A427" s="18">
        <v>2002</v>
      </c>
      <c r="B427" s="18" t="s">
        <v>30</v>
      </c>
      <c r="C427" s="18">
        <v>0</v>
      </c>
      <c r="D427" s="18">
        <v>0</v>
      </c>
      <c r="E427" s="18">
        <v>0</v>
      </c>
    </row>
    <row r="428" spans="1:5" x14ac:dyDescent="0.25">
      <c r="A428" s="18">
        <v>2003</v>
      </c>
      <c r="B428" s="18" t="s">
        <v>30</v>
      </c>
      <c r="C428" s="18">
        <v>0</v>
      </c>
      <c r="D428" s="18">
        <v>0</v>
      </c>
      <c r="E428" s="18">
        <v>0</v>
      </c>
    </row>
    <row r="429" spans="1:5" x14ac:dyDescent="0.25">
      <c r="A429" s="18">
        <v>2004</v>
      </c>
      <c r="B429" s="18" t="s">
        <v>30</v>
      </c>
      <c r="C429" s="18">
        <v>0</v>
      </c>
      <c r="D429" s="18">
        <v>0</v>
      </c>
      <c r="E429" s="18">
        <v>0</v>
      </c>
    </row>
    <row r="430" spans="1:5" x14ac:dyDescent="0.25">
      <c r="A430" s="18">
        <v>2005</v>
      </c>
      <c r="B430" s="18" t="s">
        <v>30</v>
      </c>
      <c r="C430" s="18">
        <v>0</v>
      </c>
      <c r="D430" s="18">
        <v>0</v>
      </c>
      <c r="E430" s="18">
        <v>0</v>
      </c>
    </row>
    <row r="431" spans="1:5" x14ac:dyDescent="0.25">
      <c r="A431" s="18">
        <v>2006</v>
      </c>
      <c r="B431" s="18" t="s">
        <v>30</v>
      </c>
      <c r="C431" s="18">
        <v>0</v>
      </c>
      <c r="D431" s="18">
        <v>0</v>
      </c>
      <c r="E431" s="18">
        <v>0</v>
      </c>
    </row>
    <row r="432" spans="1:5" x14ac:dyDescent="0.25">
      <c r="A432" s="18">
        <v>2007</v>
      </c>
      <c r="B432" s="18" t="s">
        <v>30</v>
      </c>
      <c r="C432" s="18">
        <v>0</v>
      </c>
      <c r="D432" s="18">
        <v>0</v>
      </c>
      <c r="E432" s="18">
        <v>0</v>
      </c>
    </row>
    <row r="433" spans="1:5" x14ac:dyDescent="0.25">
      <c r="A433" s="18">
        <v>2008</v>
      </c>
      <c r="B433" s="18" t="s">
        <v>30</v>
      </c>
      <c r="C433" s="18">
        <v>0</v>
      </c>
      <c r="D433" s="18">
        <v>0</v>
      </c>
      <c r="E433" s="18">
        <v>0</v>
      </c>
    </row>
    <row r="434" spans="1:5" x14ac:dyDescent="0.25">
      <c r="A434" s="18">
        <v>1950</v>
      </c>
      <c r="B434" s="18" t="s">
        <v>31</v>
      </c>
      <c r="C434" s="18">
        <v>0</v>
      </c>
      <c r="D434" s="18">
        <v>0</v>
      </c>
      <c r="E434" s="18">
        <v>0</v>
      </c>
    </row>
    <row r="435" spans="1:5" x14ac:dyDescent="0.25">
      <c r="A435" s="18">
        <v>1951</v>
      </c>
      <c r="B435" s="18" t="s">
        <v>31</v>
      </c>
      <c r="C435" s="18">
        <v>0</v>
      </c>
      <c r="D435" s="18">
        <v>0</v>
      </c>
      <c r="E435" s="18">
        <v>0</v>
      </c>
    </row>
    <row r="436" spans="1:5" x14ac:dyDescent="0.25">
      <c r="A436" s="18">
        <v>1952</v>
      </c>
      <c r="B436" s="18" t="s">
        <v>31</v>
      </c>
      <c r="C436" s="18">
        <v>0</v>
      </c>
      <c r="D436" s="18">
        <v>0</v>
      </c>
      <c r="E436" s="18">
        <v>0</v>
      </c>
    </row>
    <row r="437" spans="1:5" x14ac:dyDescent="0.25">
      <c r="A437" s="18">
        <v>1953</v>
      </c>
      <c r="B437" s="18" t="s">
        <v>31</v>
      </c>
      <c r="C437" s="18">
        <v>0</v>
      </c>
      <c r="D437" s="18">
        <v>0</v>
      </c>
      <c r="E437" s="18">
        <v>0</v>
      </c>
    </row>
    <row r="438" spans="1:5" x14ac:dyDescent="0.25">
      <c r="A438" s="18">
        <v>1954</v>
      </c>
      <c r="B438" s="18" t="s">
        <v>31</v>
      </c>
      <c r="C438" s="18">
        <v>0</v>
      </c>
      <c r="D438" s="18">
        <v>0</v>
      </c>
      <c r="E438" s="18">
        <v>0</v>
      </c>
    </row>
    <row r="439" spans="1:5" x14ac:dyDescent="0.25">
      <c r="A439" s="18">
        <v>1955</v>
      </c>
      <c r="B439" s="18" t="s">
        <v>31</v>
      </c>
      <c r="C439" s="18">
        <v>0</v>
      </c>
      <c r="D439" s="18">
        <v>0</v>
      </c>
      <c r="E439" s="18">
        <v>0</v>
      </c>
    </row>
    <row r="440" spans="1:5" x14ac:dyDescent="0.25">
      <c r="A440" s="18">
        <v>1956</v>
      </c>
      <c r="B440" s="18" t="s">
        <v>31</v>
      </c>
      <c r="C440" s="18">
        <v>0</v>
      </c>
      <c r="D440" s="18">
        <v>0</v>
      </c>
      <c r="E440" s="18">
        <v>0</v>
      </c>
    </row>
    <row r="441" spans="1:5" x14ac:dyDescent="0.25">
      <c r="A441" s="18">
        <v>1957</v>
      </c>
      <c r="B441" s="18" t="s">
        <v>31</v>
      </c>
      <c r="C441" s="18">
        <v>0</v>
      </c>
      <c r="D441" s="18">
        <v>0</v>
      </c>
      <c r="E441" s="18">
        <v>0</v>
      </c>
    </row>
    <row r="442" spans="1:5" x14ac:dyDescent="0.25">
      <c r="A442" s="18">
        <v>1958</v>
      </c>
      <c r="B442" s="18" t="s">
        <v>31</v>
      </c>
      <c r="C442" s="18">
        <v>0</v>
      </c>
      <c r="D442" s="18">
        <v>0</v>
      </c>
      <c r="E442" s="18">
        <v>0</v>
      </c>
    </row>
    <row r="443" spans="1:5" x14ac:dyDescent="0.25">
      <c r="A443" s="18">
        <v>1959</v>
      </c>
      <c r="B443" s="18" t="s">
        <v>31</v>
      </c>
      <c r="C443" s="18">
        <v>0</v>
      </c>
      <c r="D443" s="18">
        <v>0</v>
      </c>
      <c r="E443" s="18">
        <v>0</v>
      </c>
    </row>
    <row r="444" spans="1:5" x14ac:dyDescent="0.25">
      <c r="A444" s="18">
        <v>1960</v>
      </c>
      <c r="B444" s="18" t="s">
        <v>31</v>
      </c>
      <c r="C444" s="18">
        <v>0</v>
      </c>
      <c r="D444" s="18">
        <v>0</v>
      </c>
      <c r="E444" s="18">
        <v>0</v>
      </c>
    </row>
    <row r="445" spans="1:5" x14ac:dyDescent="0.25">
      <c r="A445" s="18">
        <v>1961</v>
      </c>
      <c r="B445" s="18" t="s">
        <v>31</v>
      </c>
      <c r="C445" s="18">
        <v>0</v>
      </c>
      <c r="D445" s="18">
        <v>0</v>
      </c>
      <c r="E445" s="18">
        <v>0</v>
      </c>
    </row>
    <row r="446" spans="1:5" x14ac:dyDescent="0.25">
      <c r="A446" s="18">
        <v>1962</v>
      </c>
      <c r="B446" s="18" t="s">
        <v>31</v>
      </c>
      <c r="C446" s="18">
        <v>0</v>
      </c>
      <c r="D446" s="18">
        <v>0</v>
      </c>
      <c r="E446" s="18">
        <v>0</v>
      </c>
    </row>
    <row r="447" spans="1:5" x14ac:dyDescent="0.25">
      <c r="A447" s="18">
        <v>1963</v>
      </c>
      <c r="B447" s="18" t="s">
        <v>31</v>
      </c>
      <c r="C447" s="18">
        <v>0</v>
      </c>
      <c r="D447" s="18">
        <v>0</v>
      </c>
      <c r="E447" s="18">
        <v>0</v>
      </c>
    </row>
    <row r="448" spans="1:5" x14ac:dyDescent="0.25">
      <c r="A448" s="18">
        <v>1964</v>
      </c>
      <c r="B448" s="18" t="s">
        <v>31</v>
      </c>
      <c r="C448" s="18">
        <v>0</v>
      </c>
      <c r="D448" s="18">
        <v>0</v>
      </c>
      <c r="E448" s="18">
        <v>0</v>
      </c>
    </row>
    <row r="449" spans="1:5" x14ac:dyDescent="0.25">
      <c r="A449" s="18">
        <v>1965</v>
      </c>
      <c r="B449" s="18" t="s">
        <v>31</v>
      </c>
      <c r="C449" s="18">
        <v>0</v>
      </c>
      <c r="D449" s="18">
        <v>0</v>
      </c>
      <c r="E449" s="18">
        <v>0</v>
      </c>
    </row>
    <row r="450" spans="1:5" x14ac:dyDescent="0.25">
      <c r="A450" s="18">
        <v>1966</v>
      </c>
      <c r="B450" s="18" t="s">
        <v>31</v>
      </c>
      <c r="C450" s="18">
        <v>0</v>
      </c>
      <c r="D450" s="18">
        <v>0</v>
      </c>
      <c r="E450" s="18">
        <v>0</v>
      </c>
    </row>
    <row r="451" spans="1:5" x14ac:dyDescent="0.25">
      <c r="A451" s="18">
        <v>1967</v>
      </c>
      <c r="B451" s="18" t="s">
        <v>31</v>
      </c>
      <c r="C451" s="18">
        <v>0</v>
      </c>
      <c r="D451" s="18">
        <v>0</v>
      </c>
      <c r="E451" s="18">
        <v>0</v>
      </c>
    </row>
    <row r="452" spans="1:5" x14ac:dyDescent="0.25">
      <c r="A452" s="18">
        <v>1968</v>
      </c>
      <c r="B452" s="18" t="s">
        <v>31</v>
      </c>
      <c r="C452" s="18">
        <v>0</v>
      </c>
      <c r="D452" s="18">
        <v>0</v>
      </c>
      <c r="E452" s="18">
        <v>0</v>
      </c>
    </row>
    <row r="453" spans="1:5" x14ac:dyDescent="0.25">
      <c r="A453" s="18">
        <v>1969</v>
      </c>
      <c r="B453" s="18" t="s">
        <v>31</v>
      </c>
      <c r="C453" s="18">
        <v>0</v>
      </c>
      <c r="D453" s="18">
        <v>0</v>
      </c>
      <c r="E453" s="18">
        <v>0</v>
      </c>
    </row>
    <row r="454" spans="1:5" x14ac:dyDescent="0.25">
      <c r="A454" s="18">
        <v>1970</v>
      </c>
      <c r="B454" s="18" t="s">
        <v>31</v>
      </c>
      <c r="C454" s="18">
        <v>0</v>
      </c>
      <c r="D454" s="18">
        <v>0</v>
      </c>
      <c r="E454" s="18">
        <v>0</v>
      </c>
    </row>
    <row r="455" spans="1:5" x14ac:dyDescent="0.25">
      <c r="A455" s="18">
        <v>1971</v>
      </c>
      <c r="B455" s="18" t="s">
        <v>31</v>
      </c>
      <c r="C455" s="18">
        <v>0</v>
      </c>
      <c r="D455" s="18">
        <v>0</v>
      </c>
      <c r="E455" s="18">
        <v>0</v>
      </c>
    </row>
    <row r="456" spans="1:5" x14ac:dyDescent="0.25">
      <c r="A456" s="18">
        <v>1972</v>
      </c>
      <c r="B456" s="18" t="s">
        <v>31</v>
      </c>
      <c r="C456" s="18">
        <v>0</v>
      </c>
      <c r="D456" s="18">
        <v>0</v>
      </c>
      <c r="E456" s="18">
        <v>0</v>
      </c>
    </row>
    <row r="457" spans="1:5" x14ac:dyDescent="0.25">
      <c r="A457" s="18">
        <v>1973</v>
      </c>
      <c r="B457" s="18" t="s">
        <v>31</v>
      </c>
      <c r="C457" s="18">
        <v>0</v>
      </c>
      <c r="D457" s="18">
        <v>0</v>
      </c>
      <c r="E457" s="18">
        <v>0</v>
      </c>
    </row>
    <row r="458" spans="1:5" x14ac:dyDescent="0.25">
      <c r="A458" s="18">
        <v>1974</v>
      </c>
      <c r="B458" s="18" t="s">
        <v>31</v>
      </c>
      <c r="C458" s="18">
        <v>0</v>
      </c>
      <c r="D458" s="18">
        <v>0</v>
      </c>
      <c r="E458" s="18">
        <v>0</v>
      </c>
    </row>
    <row r="459" spans="1:5" x14ac:dyDescent="0.25">
      <c r="A459" s="18">
        <v>1975</v>
      </c>
      <c r="B459" s="18" t="s">
        <v>31</v>
      </c>
      <c r="C459" s="18">
        <v>834</v>
      </c>
      <c r="D459" s="18">
        <v>838</v>
      </c>
      <c r="E459" s="18">
        <v>1672</v>
      </c>
    </row>
    <row r="460" spans="1:5" x14ac:dyDescent="0.25">
      <c r="A460" s="18">
        <v>1976</v>
      </c>
      <c r="B460" s="18" t="s">
        <v>31</v>
      </c>
      <c r="C460" s="18">
        <v>0</v>
      </c>
      <c r="D460" s="18">
        <v>0</v>
      </c>
      <c r="E460" s="18">
        <v>0</v>
      </c>
    </row>
    <row r="461" spans="1:5" x14ac:dyDescent="0.25">
      <c r="A461" s="18">
        <v>1977</v>
      </c>
      <c r="B461" s="18" t="s">
        <v>31</v>
      </c>
      <c r="C461" s="18">
        <v>0</v>
      </c>
      <c r="D461" s="18">
        <v>0</v>
      </c>
      <c r="E461" s="18">
        <v>0</v>
      </c>
    </row>
    <row r="462" spans="1:5" x14ac:dyDescent="0.25">
      <c r="A462" s="18">
        <v>1978</v>
      </c>
      <c r="B462" s="18" t="s">
        <v>31</v>
      </c>
      <c r="C462" s="18">
        <v>0</v>
      </c>
      <c r="D462" s="18">
        <v>0</v>
      </c>
      <c r="E462" s="18">
        <v>0</v>
      </c>
    </row>
    <row r="463" spans="1:5" x14ac:dyDescent="0.25">
      <c r="A463" s="18">
        <v>1979</v>
      </c>
      <c r="B463" s="18" t="s">
        <v>31</v>
      </c>
      <c r="C463" s="18">
        <v>0</v>
      </c>
      <c r="D463" s="18">
        <v>0</v>
      </c>
      <c r="E463" s="18">
        <v>0</v>
      </c>
    </row>
    <row r="464" spans="1:5" x14ac:dyDescent="0.25">
      <c r="A464" s="18">
        <v>1980</v>
      </c>
      <c r="B464" s="18" t="s">
        <v>31</v>
      </c>
      <c r="C464" s="18">
        <v>947</v>
      </c>
      <c r="D464" s="18">
        <v>950</v>
      </c>
      <c r="E464" s="18">
        <v>1897</v>
      </c>
    </row>
    <row r="465" spans="1:5" x14ac:dyDescent="0.25">
      <c r="A465" s="18">
        <v>1981</v>
      </c>
      <c r="B465" s="18" t="s">
        <v>31</v>
      </c>
      <c r="C465" s="18">
        <v>0</v>
      </c>
      <c r="D465" s="18">
        <v>0</v>
      </c>
      <c r="E465" s="18">
        <v>0</v>
      </c>
    </row>
    <row r="466" spans="1:5" x14ac:dyDescent="0.25">
      <c r="A466" s="18">
        <v>1982</v>
      </c>
      <c r="B466" s="18" t="s">
        <v>31</v>
      </c>
      <c r="C466" s="18">
        <v>0</v>
      </c>
      <c r="D466" s="18">
        <v>0</v>
      </c>
      <c r="E466" s="18">
        <v>0</v>
      </c>
    </row>
    <row r="467" spans="1:5" x14ac:dyDescent="0.25">
      <c r="A467" s="18">
        <v>1983</v>
      </c>
      <c r="B467" s="18" t="s">
        <v>31</v>
      </c>
      <c r="C467" s="18">
        <v>0</v>
      </c>
      <c r="D467" s="18">
        <v>0</v>
      </c>
      <c r="E467" s="18">
        <v>0</v>
      </c>
    </row>
    <row r="468" spans="1:5" x14ac:dyDescent="0.25">
      <c r="A468" s="18">
        <v>1984</v>
      </c>
      <c r="B468" s="18" t="s">
        <v>31</v>
      </c>
      <c r="C468" s="18">
        <v>0</v>
      </c>
      <c r="D468" s="18">
        <v>0</v>
      </c>
      <c r="E468" s="18">
        <v>0</v>
      </c>
    </row>
    <row r="469" spans="1:5" x14ac:dyDescent="0.25">
      <c r="A469" s="18">
        <v>1985</v>
      </c>
      <c r="B469" s="18" t="s">
        <v>31</v>
      </c>
      <c r="C469" s="18">
        <v>749</v>
      </c>
      <c r="D469" s="18">
        <v>781</v>
      </c>
      <c r="E469" s="18">
        <v>1530</v>
      </c>
    </row>
    <row r="470" spans="1:5" x14ac:dyDescent="0.25">
      <c r="A470" s="18">
        <v>1986</v>
      </c>
      <c r="B470" s="18" t="s">
        <v>31</v>
      </c>
      <c r="C470" s="18">
        <v>0</v>
      </c>
      <c r="D470" s="18">
        <v>0</v>
      </c>
      <c r="E470" s="18">
        <v>0</v>
      </c>
    </row>
    <row r="471" spans="1:5" x14ac:dyDescent="0.25">
      <c r="A471" s="18">
        <v>1987</v>
      </c>
      <c r="B471" s="18" t="s">
        <v>31</v>
      </c>
      <c r="C471" s="18">
        <v>0</v>
      </c>
      <c r="D471" s="18">
        <v>0</v>
      </c>
      <c r="E471" s="18">
        <v>0</v>
      </c>
    </row>
    <row r="472" spans="1:5" x14ac:dyDescent="0.25">
      <c r="A472" s="18">
        <v>1988</v>
      </c>
      <c r="B472" s="18" t="s">
        <v>31</v>
      </c>
      <c r="C472" s="18">
        <v>0</v>
      </c>
      <c r="D472" s="18">
        <v>0</v>
      </c>
      <c r="E472" s="18">
        <v>0</v>
      </c>
    </row>
    <row r="473" spans="1:5" x14ac:dyDescent="0.25">
      <c r="A473" s="18">
        <v>1989</v>
      </c>
      <c r="B473" s="18" t="s">
        <v>31</v>
      </c>
      <c r="C473" s="18">
        <v>0</v>
      </c>
      <c r="D473" s="18">
        <v>0</v>
      </c>
      <c r="E473" s="18">
        <v>0</v>
      </c>
    </row>
    <row r="474" spans="1:5" x14ac:dyDescent="0.25">
      <c r="A474" s="18">
        <v>1990</v>
      </c>
      <c r="B474" s="18" t="s">
        <v>31</v>
      </c>
      <c r="C474" s="18">
        <v>974</v>
      </c>
      <c r="D474" s="18">
        <v>1028</v>
      </c>
      <c r="E474" s="18">
        <v>2001</v>
      </c>
    </row>
    <row r="475" spans="1:5" x14ac:dyDescent="0.25">
      <c r="A475" s="18">
        <v>1991</v>
      </c>
      <c r="B475" s="18" t="s">
        <v>31</v>
      </c>
      <c r="C475" s="18">
        <v>0</v>
      </c>
      <c r="D475" s="18">
        <v>0</v>
      </c>
      <c r="E475" s="18">
        <v>0</v>
      </c>
    </row>
    <row r="476" spans="1:5" x14ac:dyDescent="0.25">
      <c r="A476" s="18">
        <v>1992</v>
      </c>
      <c r="B476" s="18" t="s">
        <v>31</v>
      </c>
      <c r="C476" s="18">
        <v>0</v>
      </c>
      <c r="D476" s="18">
        <v>0</v>
      </c>
      <c r="E476" s="18">
        <v>0</v>
      </c>
    </row>
    <row r="477" spans="1:5" x14ac:dyDescent="0.25">
      <c r="A477" s="18">
        <v>1993</v>
      </c>
      <c r="B477" s="18" t="s">
        <v>31</v>
      </c>
      <c r="C477" s="18">
        <v>0</v>
      </c>
      <c r="D477" s="18">
        <v>0</v>
      </c>
      <c r="E477" s="18">
        <v>0</v>
      </c>
    </row>
    <row r="478" spans="1:5" x14ac:dyDescent="0.25">
      <c r="A478" s="18">
        <v>1994</v>
      </c>
      <c r="B478" s="18" t="s">
        <v>31</v>
      </c>
      <c r="C478" s="18">
        <v>0</v>
      </c>
      <c r="D478" s="18">
        <v>0</v>
      </c>
      <c r="E478" s="18">
        <v>0</v>
      </c>
    </row>
    <row r="479" spans="1:5" x14ac:dyDescent="0.25">
      <c r="A479" s="18">
        <v>1995</v>
      </c>
      <c r="B479" s="18" t="s">
        <v>31</v>
      </c>
      <c r="C479" s="18">
        <v>0</v>
      </c>
      <c r="D479" s="18">
        <v>0</v>
      </c>
      <c r="E479" s="18">
        <v>0</v>
      </c>
    </row>
    <row r="480" spans="1:5" x14ac:dyDescent="0.25">
      <c r="A480" s="18">
        <v>1996</v>
      </c>
      <c r="B480" s="18" t="s">
        <v>31</v>
      </c>
      <c r="C480" s="18">
        <v>0</v>
      </c>
      <c r="D480" s="18">
        <v>0</v>
      </c>
      <c r="E480" s="18">
        <v>0</v>
      </c>
    </row>
    <row r="481" spans="1:5" x14ac:dyDescent="0.25">
      <c r="A481" s="18">
        <v>1997</v>
      </c>
      <c r="B481" s="18" t="s">
        <v>31</v>
      </c>
      <c r="C481" s="18">
        <v>0</v>
      </c>
      <c r="D481" s="18">
        <v>0</v>
      </c>
      <c r="E481" s="18">
        <v>0</v>
      </c>
    </row>
    <row r="482" spans="1:5" x14ac:dyDescent="0.25">
      <c r="A482" s="18">
        <v>1998</v>
      </c>
      <c r="B482" s="18" t="s">
        <v>31</v>
      </c>
      <c r="C482" s="18">
        <v>0</v>
      </c>
      <c r="D482" s="18">
        <v>0</v>
      </c>
      <c r="E482" s="18">
        <v>0</v>
      </c>
    </row>
    <row r="483" spans="1:5" x14ac:dyDescent="0.25">
      <c r="A483" s="18">
        <v>1999</v>
      </c>
      <c r="B483" s="18" t="s">
        <v>31</v>
      </c>
      <c r="C483" s="18">
        <v>0</v>
      </c>
      <c r="D483" s="18">
        <v>0</v>
      </c>
      <c r="E483" s="18">
        <v>0</v>
      </c>
    </row>
    <row r="484" spans="1:5" x14ac:dyDescent="0.25">
      <c r="A484" s="18">
        <v>2000</v>
      </c>
      <c r="B484" s="18" t="s">
        <v>31</v>
      </c>
      <c r="C484" s="18">
        <v>1006</v>
      </c>
      <c r="D484" s="18">
        <v>1109</v>
      </c>
      <c r="E484" s="18">
        <v>2115</v>
      </c>
    </row>
    <row r="485" spans="1:5" x14ac:dyDescent="0.25">
      <c r="A485" s="18">
        <v>2001</v>
      </c>
      <c r="B485" s="18" t="s">
        <v>31</v>
      </c>
      <c r="C485" s="18">
        <v>0</v>
      </c>
      <c r="D485" s="18">
        <v>0</v>
      </c>
      <c r="E485" s="18">
        <v>0</v>
      </c>
    </row>
    <row r="486" spans="1:5" x14ac:dyDescent="0.25">
      <c r="A486" s="18">
        <v>2002</v>
      </c>
      <c r="B486" s="18" t="s">
        <v>31</v>
      </c>
      <c r="C486" s="18">
        <v>0</v>
      </c>
      <c r="D486" s="18">
        <v>0</v>
      </c>
      <c r="E486" s="18">
        <v>0</v>
      </c>
    </row>
    <row r="487" spans="1:5" x14ac:dyDescent="0.25">
      <c r="A487" s="18">
        <v>2003</v>
      </c>
      <c r="B487" s="18" t="s">
        <v>31</v>
      </c>
      <c r="C487" s="18">
        <v>0</v>
      </c>
      <c r="D487" s="18">
        <v>0</v>
      </c>
      <c r="E487" s="18">
        <v>0</v>
      </c>
    </row>
    <row r="488" spans="1:5" x14ac:dyDescent="0.25">
      <c r="A488" s="18">
        <v>2004</v>
      </c>
      <c r="B488" s="18" t="s">
        <v>31</v>
      </c>
      <c r="C488" s="18">
        <v>0</v>
      </c>
      <c r="D488" s="18">
        <v>0</v>
      </c>
      <c r="E488" s="18">
        <v>0</v>
      </c>
    </row>
    <row r="489" spans="1:5" x14ac:dyDescent="0.25">
      <c r="A489" s="18">
        <v>2005</v>
      </c>
      <c r="B489" s="18" t="s">
        <v>31</v>
      </c>
      <c r="C489" s="18">
        <v>0</v>
      </c>
      <c r="D489" s="18">
        <v>0</v>
      </c>
      <c r="E489" s="18">
        <v>0</v>
      </c>
    </row>
    <row r="490" spans="1:5" x14ac:dyDescent="0.25">
      <c r="A490" s="18">
        <v>2006</v>
      </c>
      <c r="B490" s="18" t="s">
        <v>31</v>
      </c>
      <c r="C490" s="18">
        <v>0</v>
      </c>
      <c r="D490" s="18">
        <v>0</v>
      </c>
      <c r="E490" s="18">
        <v>0</v>
      </c>
    </row>
    <row r="491" spans="1:5" x14ac:dyDescent="0.25">
      <c r="A491" s="18">
        <v>2007</v>
      </c>
      <c r="B491" s="18" t="s">
        <v>31</v>
      </c>
      <c r="C491" s="18">
        <v>0</v>
      </c>
      <c r="D491" s="18">
        <v>0</v>
      </c>
      <c r="E491" s="18">
        <v>0</v>
      </c>
    </row>
    <row r="492" spans="1:5" x14ac:dyDescent="0.25">
      <c r="A492" s="18">
        <v>2008</v>
      </c>
      <c r="B492" s="18" t="s">
        <v>31</v>
      </c>
      <c r="C492" s="18">
        <v>0</v>
      </c>
      <c r="D492" s="18">
        <v>0</v>
      </c>
      <c r="E492" s="18">
        <v>0</v>
      </c>
    </row>
    <row r="493" spans="1:5" x14ac:dyDescent="0.25">
      <c r="A493" s="18">
        <v>1950</v>
      </c>
      <c r="B493" s="18" t="s">
        <v>106</v>
      </c>
      <c r="C493" s="18">
        <v>0</v>
      </c>
      <c r="D493" s="18">
        <v>0</v>
      </c>
      <c r="E493" s="18">
        <v>0</v>
      </c>
    </row>
    <row r="494" spans="1:5" x14ac:dyDescent="0.25">
      <c r="A494" s="18">
        <v>1951</v>
      </c>
      <c r="B494" s="18" t="s">
        <v>106</v>
      </c>
      <c r="C494" s="18">
        <v>0</v>
      </c>
      <c r="D494" s="18">
        <v>0</v>
      </c>
      <c r="E494" s="18">
        <v>0</v>
      </c>
    </row>
    <row r="495" spans="1:5" x14ac:dyDescent="0.25">
      <c r="A495" s="18">
        <v>1952</v>
      </c>
      <c r="B495" s="18" t="s">
        <v>106</v>
      </c>
      <c r="C495" s="18">
        <v>0</v>
      </c>
      <c r="D495" s="18">
        <v>0</v>
      </c>
      <c r="E495" s="18">
        <v>0</v>
      </c>
    </row>
    <row r="496" spans="1:5" x14ac:dyDescent="0.25">
      <c r="A496" s="18">
        <v>1953</v>
      </c>
      <c r="B496" s="18" t="s">
        <v>106</v>
      </c>
      <c r="C496" s="18">
        <v>0</v>
      </c>
      <c r="D496" s="18">
        <v>0</v>
      </c>
      <c r="E496" s="18">
        <v>0</v>
      </c>
    </row>
    <row r="497" spans="1:5" x14ac:dyDescent="0.25">
      <c r="A497" s="18">
        <v>1954</v>
      </c>
      <c r="B497" s="18" t="s">
        <v>106</v>
      </c>
      <c r="C497" s="18">
        <v>0</v>
      </c>
      <c r="D497" s="18">
        <v>0</v>
      </c>
      <c r="E497" s="18">
        <v>0</v>
      </c>
    </row>
    <row r="498" spans="1:5" x14ac:dyDescent="0.25">
      <c r="A498" s="18">
        <v>1955</v>
      </c>
      <c r="B498" s="18" t="s">
        <v>106</v>
      </c>
      <c r="C498" s="18">
        <v>0</v>
      </c>
      <c r="D498" s="18">
        <v>0</v>
      </c>
      <c r="E498" s="18">
        <v>0</v>
      </c>
    </row>
    <row r="499" spans="1:5" x14ac:dyDescent="0.25">
      <c r="A499" s="18">
        <v>1956</v>
      </c>
      <c r="B499" s="18" t="s">
        <v>106</v>
      </c>
      <c r="C499" s="18">
        <v>0</v>
      </c>
      <c r="D499" s="18">
        <v>0</v>
      </c>
      <c r="E499" s="18">
        <v>0</v>
      </c>
    </row>
    <row r="500" spans="1:5" x14ac:dyDescent="0.25">
      <c r="A500" s="18">
        <v>1957</v>
      </c>
      <c r="B500" s="18" t="s">
        <v>106</v>
      </c>
      <c r="C500" s="18">
        <v>0</v>
      </c>
      <c r="D500" s="18">
        <v>0</v>
      </c>
      <c r="E500" s="18">
        <v>0</v>
      </c>
    </row>
    <row r="501" spans="1:5" x14ac:dyDescent="0.25">
      <c r="A501" s="18">
        <v>1958</v>
      </c>
      <c r="B501" s="18" t="s">
        <v>106</v>
      </c>
      <c r="C501" s="18">
        <v>0</v>
      </c>
      <c r="D501" s="18">
        <v>0</v>
      </c>
      <c r="E501" s="18">
        <v>0</v>
      </c>
    </row>
    <row r="502" spans="1:5" x14ac:dyDescent="0.25">
      <c r="A502" s="18">
        <v>1959</v>
      </c>
      <c r="B502" s="18" t="s">
        <v>106</v>
      </c>
      <c r="C502" s="18">
        <v>0</v>
      </c>
      <c r="D502" s="18">
        <v>0</v>
      </c>
      <c r="E502" s="18">
        <v>0</v>
      </c>
    </row>
    <row r="503" spans="1:5" x14ac:dyDescent="0.25">
      <c r="A503" s="18">
        <v>1960</v>
      </c>
      <c r="B503" s="18" t="s">
        <v>106</v>
      </c>
      <c r="C503" s="18">
        <v>0</v>
      </c>
      <c r="D503" s="18">
        <v>0</v>
      </c>
      <c r="E503" s="18">
        <v>0</v>
      </c>
    </row>
    <row r="504" spans="1:5" x14ac:dyDescent="0.25">
      <c r="A504" s="18">
        <v>1961</v>
      </c>
      <c r="B504" s="18" t="s">
        <v>106</v>
      </c>
      <c r="C504" s="18">
        <v>0</v>
      </c>
      <c r="D504" s="18">
        <v>0</v>
      </c>
      <c r="E504" s="18">
        <v>0</v>
      </c>
    </row>
    <row r="505" spans="1:5" x14ac:dyDescent="0.25">
      <c r="A505" s="18">
        <v>1962</v>
      </c>
      <c r="B505" s="18" t="s">
        <v>106</v>
      </c>
      <c r="C505" s="18">
        <v>0</v>
      </c>
      <c r="D505" s="18">
        <v>0</v>
      </c>
      <c r="E505" s="18">
        <v>0</v>
      </c>
    </row>
    <row r="506" spans="1:5" x14ac:dyDescent="0.25">
      <c r="A506" s="18">
        <v>1963</v>
      </c>
      <c r="B506" s="18" t="s">
        <v>106</v>
      </c>
      <c r="C506" s="18">
        <v>0</v>
      </c>
      <c r="D506" s="18">
        <v>0</v>
      </c>
      <c r="E506" s="18">
        <v>0</v>
      </c>
    </row>
    <row r="507" spans="1:5" x14ac:dyDescent="0.25">
      <c r="A507" s="18">
        <v>1964</v>
      </c>
      <c r="B507" s="18" t="s">
        <v>106</v>
      </c>
      <c r="C507" s="18">
        <v>0</v>
      </c>
      <c r="D507" s="18">
        <v>0</v>
      </c>
      <c r="E507" s="18">
        <v>0</v>
      </c>
    </row>
    <row r="508" spans="1:5" x14ac:dyDescent="0.25">
      <c r="A508" s="18">
        <v>1965</v>
      </c>
      <c r="B508" s="18" t="s">
        <v>106</v>
      </c>
      <c r="C508" s="18">
        <v>0</v>
      </c>
      <c r="D508" s="18">
        <v>0</v>
      </c>
      <c r="E508" s="18">
        <v>0</v>
      </c>
    </row>
    <row r="509" spans="1:5" x14ac:dyDescent="0.25">
      <c r="A509" s="18">
        <v>1966</v>
      </c>
      <c r="B509" s="18" t="s">
        <v>106</v>
      </c>
      <c r="C509" s="18">
        <v>0</v>
      </c>
      <c r="D509" s="18">
        <v>0</v>
      </c>
      <c r="E509" s="18">
        <v>0</v>
      </c>
    </row>
    <row r="510" spans="1:5" x14ac:dyDescent="0.25">
      <c r="A510" s="18">
        <v>1967</v>
      </c>
      <c r="B510" s="18" t="s">
        <v>106</v>
      </c>
      <c r="C510" s="18">
        <v>0</v>
      </c>
      <c r="D510" s="18">
        <v>0</v>
      </c>
      <c r="E510" s="18">
        <v>0</v>
      </c>
    </row>
    <row r="511" spans="1:5" x14ac:dyDescent="0.25">
      <c r="A511" s="18">
        <v>1968</v>
      </c>
      <c r="B511" s="18" t="s">
        <v>106</v>
      </c>
      <c r="C511" s="18">
        <v>0</v>
      </c>
      <c r="D511" s="18">
        <v>0</v>
      </c>
      <c r="E511" s="18">
        <v>0</v>
      </c>
    </row>
    <row r="512" spans="1:5" x14ac:dyDescent="0.25">
      <c r="A512" s="18">
        <v>1969</v>
      </c>
      <c r="B512" s="18" t="s">
        <v>106</v>
      </c>
      <c r="C512" s="18">
        <v>0</v>
      </c>
      <c r="D512" s="18">
        <v>0</v>
      </c>
      <c r="E512" s="18">
        <v>0</v>
      </c>
    </row>
    <row r="513" spans="1:5" x14ac:dyDescent="0.25">
      <c r="A513" s="18">
        <v>1970</v>
      </c>
      <c r="B513" s="18" t="s">
        <v>106</v>
      </c>
      <c r="C513" s="18">
        <v>0</v>
      </c>
      <c r="D513" s="18">
        <v>0</v>
      </c>
      <c r="E513" s="18">
        <v>0</v>
      </c>
    </row>
    <row r="514" spans="1:5" x14ac:dyDescent="0.25">
      <c r="A514" s="18">
        <v>1971</v>
      </c>
      <c r="B514" s="18" t="s">
        <v>106</v>
      </c>
      <c r="C514" s="18">
        <v>0</v>
      </c>
      <c r="D514" s="18">
        <v>0</v>
      </c>
      <c r="E514" s="18">
        <v>0</v>
      </c>
    </row>
    <row r="515" spans="1:5" x14ac:dyDescent="0.25">
      <c r="A515" s="18">
        <v>1972</v>
      </c>
      <c r="B515" s="18" t="s">
        <v>106</v>
      </c>
      <c r="C515" s="18">
        <v>0</v>
      </c>
      <c r="D515" s="18">
        <v>0</v>
      </c>
      <c r="E515" s="18">
        <v>0</v>
      </c>
    </row>
    <row r="516" spans="1:5" x14ac:dyDescent="0.25">
      <c r="A516" s="18">
        <v>1973</v>
      </c>
      <c r="B516" s="18" t="s">
        <v>106</v>
      </c>
      <c r="C516" s="18">
        <v>0</v>
      </c>
      <c r="D516" s="18">
        <v>0</v>
      </c>
      <c r="E516" s="18">
        <v>0</v>
      </c>
    </row>
    <row r="517" spans="1:5" x14ac:dyDescent="0.25">
      <c r="A517" s="18">
        <v>1974</v>
      </c>
      <c r="B517" s="18" t="s">
        <v>106</v>
      </c>
      <c r="C517" s="18">
        <v>0</v>
      </c>
      <c r="D517" s="18">
        <v>0</v>
      </c>
      <c r="E517" s="18">
        <v>0</v>
      </c>
    </row>
    <row r="518" spans="1:5" x14ac:dyDescent="0.25">
      <c r="A518" s="18">
        <v>1975</v>
      </c>
      <c r="B518" s="18" t="s">
        <v>106</v>
      </c>
      <c r="C518" s="18">
        <v>1185</v>
      </c>
      <c r="D518" s="18">
        <v>1309</v>
      </c>
      <c r="E518" s="18">
        <v>2498</v>
      </c>
    </row>
    <row r="519" spans="1:5" x14ac:dyDescent="0.25">
      <c r="A519" s="18">
        <v>1976</v>
      </c>
      <c r="B519" s="18" t="s">
        <v>106</v>
      </c>
      <c r="C519" s="18">
        <v>0</v>
      </c>
      <c r="D519" s="18">
        <v>0</v>
      </c>
      <c r="E519" s="18">
        <v>0</v>
      </c>
    </row>
    <row r="520" spans="1:5" x14ac:dyDescent="0.25">
      <c r="A520" s="18">
        <v>1977</v>
      </c>
      <c r="B520" s="18" t="s">
        <v>106</v>
      </c>
      <c r="C520" s="18">
        <v>0</v>
      </c>
      <c r="D520" s="18">
        <v>0</v>
      </c>
      <c r="E520" s="18">
        <v>0</v>
      </c>
    </row>
    <row r="521" spans="1:5" x14ac:dyDescent="0.25">
      <c r="A521" s="18">
        <v>1978</v>
      </c>
      <c r="B521" s="18" t="s">
        <v>106</v>
      </c>
      <c r="C521" s="18">
        <v>0</v>
      </c>
      <c r="D521" s="18">
        <v>0</v>
      </c>
      <c r="E521" s="18">
        <v>0</v>
      </c>
    </row>
    <row r="522" spans="1:5" x14ac:dyDescent="0.25">
      <c r="A522" s="18">
        <v>1979</v>
      </c>
      <c r="B522" s="18" t="s">
        <v>106</v>
      </c>
      <c r="C522" s="18">
        <v>0</v>
      </c>
      <c r="D522" s="18">
        <v>0</v>
      </c>
      <c r="E522" s="18">
        <v>0</v>
      </c>
    </row>
    <row r="523" spans="1:5" x14ac:dyDescent="0.25">
      <c r="A523" s="18">
        <v>1980</v>
      </c>
      <c r="B523" s="18" t="s">
        <v>106</v>
      </c>
      <c r="C523" s="18">
        <v>1092</v>
      </c>
      <c r="D523" s="18">
        <v>1143</v>
      </c>
      <c r="E523" s="18">
        <v>2296</v>
      </c>
    </row>
    <row r="524" spans="1:5" x14ac:dyDescent="0.25">
      <c r="A524" s="18">
        <v>1981</v>
      </c>
      <c r="B524" s="18" t="s">
        <v>106</v>
      </c>
      <c r="C524" s="18">
        <v>0</v>
      </c>
      <c r="D524" s="18">
        <v>0</v>
      </c>
      <c r="E524" s="18">
        <v>0</v>
      </c>
    </row>
    <row r="525" spans="1:5" x14ac:dyDescent="0.25">
      <c r="A525" s="18">
        <v>1982</v>
      </c>
      <c r="B525" s="18" t="s">
        <v>106</v>
      </c>
      <c r="C525" s="18">
        <v>0</v>
      </c>
      <c r="D525" s="18">
        <v>0</v>
      </c>
      <c r="E525" s="18">
        <v>0</v>
      </c>
    </row>
    <row r="526" spans="1:5" x14ac:dyDescent="0.25">
      <c r="A526" s="18">
        <v>1983</v>
      </c>
      <c r="B526" s="18" t="s">
        <v>106</v>
      </c>
      <c r="C526" s="18">
        <v>0</v>
      </c>
      <c r="D526" s="18">
        <v>0</v>
      </c>
      <c r="E526" s="18">
        <v>0</v>
      </c>
    </row>
    <row r="527" spans="1:5" x14ac:dyDescent="0.25">
      <c r="A527" s="18">
        <v>1984</v>
      </c>
      <c r="B527" s="18" t="s">
        <v>106</v>
      </c>
      <c r="C527" s="18">
        <v>0</v>
      </c>
      <c r="D527" s="18">
        <v>0</v>
      </c>
      <c r="E527" s="18">
        <v>0</v>
      </c>
    </row>
    <row r="528" spans="1:5" x14ac:dyDescent="0.25">
      <c r="A528" s="18">
        <v>1985</v>
      </c>
      <c r="B528" s="18" t="s">
        <v>106</v>
      </c>
      <c r="C528" s="18">
        <v>1048</v>
      </c>
      <c r="D528" s="18">
        <v>1071</v>
      </c>
      <c r="E528" s="18">
        <v>2119</v>
      </c>
    </row>
    <row r="529" spans="1:5" x14ac:dyDescent="0.25">
      <c r="A529" s="18">
        <v>1986</v>
      </c>
      <c r="B529" s="18" t="s">
        <v>106</v>
      </c>
      <c r="C529" s="18">
        <v>0</v>
      </c>
      <c r="D529" s="18">
        <v>0</v>
      </c>
      <c r="E529" s="18">
        <v>0</v>
      </c>
    </row>
    <row r="530" spans="1:5" x14ac:dyDescent="0.25">
      <c r="A530" s="18">
        <v>1987</v>
      </c>
      <c r="B530" s="18" t="s">
        <v>106</v>
      </c>
      <c r="C530" s="18">
        <v>0</v>
      </c>
      <c r="D530" s="18">
        <v>0</v>
      </c>
      <c r="E530" s="18">
        <v>0</v>
      </c>
    </row>
    <row r="531" spans="1:5" x14ac:dyDescent="0.25">
      <c r="A531" s="18">
        <v>1988</v>
      </c>
      <c r="B531" s="18" t="s">
        <v>106</v>
      </c>
      <c r="C531" s="18">
        <v>0</v>
      </c>
      <c r="D531" s="18">
        <v>0</v>
      </c>
      <c r="E531" s="18">
        <v>0</v>
      </c>
    </row>
    <row r="532" spans="1:5" x14ac:dyDescent="0.25">
      <c r="A532" s="18">
        <v>1989</v>
      </c>
      <c r="B532" s="18" t="s">
        <v>106</v>
      </c>
      <c r="C532" s="18">
        <v>0</v>
      </c>
      <c r="D532" s="18">
        <v>0</v>
      </c>
      <c r="E532" s="18">
        <v>0</v>
      </c>
    </row>
    <row r="533" spans="1:5" x14ac:dyDescent="0.25">
      <c r="A533" s="18">
        <v>1990</v>
      </c>
      <c r="B533" s="18" t="s">
        <v>106</v>
      </c>
      <c r="C533" s="18">
        <v>1248</v>
      </c>
      <c r="D533" s="18">
        <v>1312</v>
      </c>
      <c r="E533" s="18">
        <v>2559</v>
      </c>
    </row>
    <row r="534" spans="1:5" x14ac:dyDescent="0.25">
      <c r="A534" s="18">
        <v>1991</v>
      </c>
      <c r="B534" s="18" t="s">
        <v>106</v>
      </c>
      <c r="C534" s="18">
        <v>0</v>
      </c>
      <c r="D534" s="18">
        <v>0</v>
      </c>
      <c r="E534" s="18">
        <v>0</v>
      </c>
    </row>
    <row r="535" spans="1:5" x14ac:dyDescent="0.25">
      <c r="A535" s="18">
        <v>1992</v>
      </c>
      <c r="B535" s="18" t="s">
        <v>106</v>
      </c>
      <c r="C535" s="18">
        <v>0</v>
      </c>
      <c r="D535" s="18">
        <v>0</v>
      </c>
      <c r="E535" s="18">
        <v>0</v>
      </c>
    </row>
    <row r="536" spans="1:5" x14ac:dyDescent="0.25">
      <c r="A536" s="18">
        <v>1993</v>
      </c>
      <c r="B536" s="18" t="s">
        <v>106</v>
      </c>
      <c r="C536" s="18">
        <v>0</v>
      </c>
      <c r="D536" s="18">
        <v>0</v>
      </c>
      <c r="E536" s="18">
        <v>0</v>
      </c>
    </row>
    <row r="537" spans="1:5" x14ac:dyDescent="0.25">
      <c r="A537" s="18">
        <v>1994</v>
      </c>
      <c r="B537" s="18" t="s">
        <v>106</v>
      </c>
      <c r="C537" s="18">
        <v>0</v>
      </c>
      <c r="D537" s="18">
        <v>0</v>
      </c>
      <c r="E537" s="18">
        <v>0</v>
      </c>
    </row>
    <row r="538" spans="1:5" x14ac:dyDescent="0.25">
      <c r="A538" s="18">
        <v>1995</v>
      </c>
      <c r="B538" s="18" t="s">
        <v>106</v>
      </c>
      <c r="C538" s="18">
        <v>0</v>
      </c>
      <c r="D538" s="18">
        <v>0</v>
      </c>
      <c r="E538" s="18">
        <v>0</v>
      </c>
    </row>
    <row r="539" spans="1:5" x14ac:dyDescent="0.25">
      <c r="A539" s="18">
        <v>1996</v>
      </c>
      <c r="B539" s="18" t="s">
        <v>106</v>
      </c>
      <c r="C539" s="18">
        <v>0</v>
      </c>
      <c r="D539" s="18">
        <v>0</v>
      </c>
      <c r="E539" s="18">
        <v>0</v>
      </c>
    </row>
    <row r="540" spans="1:5" x14ac:dyDescent="0.25">
      <c r="A540" s="18">
        <v>1997</v>
      </c>
      <c r="B540" s="18" t="s">
        <v>106</v>
      </c>
      <c r="C540" s="18">
        <v>0</v>
      </c>
      <c r="D540" s="18">
        <v>0</v>
      </c>
      <c r="E540" s="18">
        <v>0</v>
      </c>
    </row>
    <row r="541" spans="1:5" x14ac:dyDescent="0.25">
      <c r="A541" s="18">
        <v>1998</v>
      </c>
      <c r="B541" s="18" t="s">
        <v>106</v>
      </c>
      <c r="C541" s="18">
        <v>0</v>
      </c>
      <c r="D541" s="18">
        <v>0</v>
      </c>
      <c r="E541" s="18">
        <v>0</v>
      </c>
    </row>
    <row r="542" spans="1:5" x14ac:dyDescent="0.25">
      <c r="A542" s="18">
        <v>1999</v>
      </c>
      <c r="B542" s="18" t="s">
        <v>106</v>
      </c>
      <c r="C542" s="18">
        <v>0</v>
      </c>
      <c r="D542" s="18">
        <v>0</v>
      </c>
      <c r="E542" s="18">
        <v>0</v>
      </c>
    </row>
    <row r="543" spans="1:5" x14ac:dyDescent="0.25">
      <c r="A543" s="18">
        <v>2000</v>
      </c>
      <c r="B543" s="18" t="s">
        <v>106</v>
      </c>
      <c r="C543" s="18">
        <v>1316</v>
      </c>
      <c r="D543" s="18">
        <v>1347</v>
      </c>
      <c r="E543" s="18">
        <v>2661</v>
      </c>
    </row>
    <row r="544" spans="1:5" x14ac:dyDescent="0.25">
      <c r="A544" s="18">
        <v>2001</v>
      </c>
      <c r="B544" s="18" t="s">
        <v>106</v>
      </c>
      <c r="C544" s="18">
        <v>0</v>
      </c>
      <c r="D544" s="18">
        <v>0</v>
      </c>
      <c r="E544" s="18">
        <v>0</v>
      </c>
    </row>
    <row r="545" spans="1:5" x14ac:dyDescent="0.25">
      <c r="A545" s="18">
        <v>2002</v>
      </c>
      <c r="B545" s="18" t="s">
        <v>106</v>
      </c>
      <c r="C545" s="18">
        <v>0</v>
      </c>
      <c r="D545" s="18">
        <v>0</v>
      </c>
      <c r="E545" s="18">
        <v>0</v>
      </c>
    </row>
    <row r="546" spans="1:5" x14ac:dyDescent="0.25">
      <c r="A546" s="18">
        <v>2003</v>
      </c>
      <c r="B546" s="18" t="s">
        <v>106</v>
      </c>
      <c r="C546" s="18">
        <v>0</v>
      </c>
      <c r="D546" s="18">
        <v>0</v>
      </c>
      <c r="E546" s="18">
        <v>0</v>
      </c>
    </row>
    <row r="547" spans="1:5" x14ac:dyDescent="0.25">
      <c r="A547" s="18">
        <v>2004</v>
      </c>
      <c r="B547" s="18" t="s">
        <v>106</v>
      </c>
      <c r="C547" s="18">
        <v>0</v>
      </c>
      <c r="D547" s="18">
        <v>0</v>
      </c>
      <c r="E547" s="18">
        <v>0</v>
      </c>
    </row>
    <row r="548" spans="1:5" x14ac:dyDescent="0.25">
      <c r="A548" s="18">
        <v>2005</v>
      </c>
      <c r="B548" s="18" t="s">
        <v>106</v>
      </c>
      <c r="C548" s="18">
        <v>0</v>
      </c>
      <c r="D548" s="18">
        <v>0</v>
      </c>
      <c r="E548" s="18">
        <v>0</v>
      </c>
    </row>
    <row r="549" spans="1:5" x14ac:dyDescent="0.25">
      <c r="A549" s="18">
        <v>2006</v>
      </c>
      <c r="B549" s="18" t="s">
        <v>106</v>
      </c>
      <c r="C549" s="18">
        <v>0</v>
      </c>
      <c r="D549" s="18">
        <v>0</v>
      </c>
      <c r="E549" s="18">
        <v>0</v>
      </c>
    </row>
    <row r="550" spans="1:5" x14ac:dyDescent="0.25">
      <c r="A550" s="18">
        <v>2007</v>
      </c>
      <c r="B550" s="18" t="s">
        <v>106</v>
      </c>
      <c r="C550" s="18">
        <v>0</v>
      </c>
      <c r="D550" s="18">
        <v>0</v>
      </c>
      <c r="E550" s="18">
        <v>0</v>
      </c>
    </row>
    <row r="551" spans="1:5" x14ac:dyDescent="0.25">
      <c r="A551" s="18">
        <v>2008</v>
      </c>
      <c r="B551" s="18" t="s">
        <v>106</v>
      </c>
      <c r="C551" s="18">
        <v>0</v>
      </c>
      <c r="D551" s="18">
        <v>0</v>
      </c>
      <c r="E551" s="18">
        <v>0</v>
      </c>
    </row>
    <row r="552" spans="1:5" x14ac:dyDescent="0.25">
      <c r="A552" s="18">
        <v>1950</v>
      </c>
      <c r="B552" s="18" t="s">
        <v>35</v>
      </c>
      <c r="C552" s="18">
        <v>0</v>
      </c>
      <c r="D552" s="18">
        <v>0</v>
      </c>
      <c r="E552" s="18">
        <v>0</v>
      </c>
    </row>
    <row r="553" spans="1:5" x14ac:dyDescent="0.25">
      <c r="A553" s="18">
        <v>1951</v>
      </c>
      <c r="B553" s="18" t="s">
        <v>35</v>
      </c>
      <c r="C553" s="18">
        <v>0</v>
      </c>
      <c r="D553" s="18">
        <v>0</v>
      </c>
      <c r="E553" s="18">
        <v>0</v>
      </c>
    </row>
    <row r="554" spans="1:5" x14ac:dyDescent="0.25">
      <c r="A554" s="18">
        <v>1952</v>
      </c>
      <c r="B554" s="18" t="s">
        <v>35</v>
      </c>
      <c r="C554" s="18">
        <v>0</v>
      </c>
      <c r="D554" s="18">
        <v>0</v>
      </c>
      <c r="E554" s="18">
        <v>0</v>
      </c>
    </row>
    <row r="555" spans="1:5" x14ac:dyDescent="0.25">
      <c r="A555" s="18">
        <v>1953</v>
      </c>
      <c r="B555" s="18" t="s">
        <v>35</v>
      </c>
      <c r="C555" s="18">
        <v>0</v>
      </c>
      <c r="D555" s="18">
        <v>0</v>
      </c>
      <c r="E555" s="18">
        <v>0</v>
      </c>
    </row>
    <row r="556" spans="1:5" x14ac:dyDescent="0.25">
      <c r="A556" s="18">
        <v>1954</v>
      </c>
      <c r="B556" s="18" t="s">
        <v>35</v>
      </c>
      <c r="C556" s="18">
        <v>0</v>
      </c>
      <c r="D556" s="18">
        <v>0</v>
      </c>
      <c r="E556" s="18">
        <v>0</v>
      </c>
    </row>
    <row r="557" spans="1:5" x14ac:dyDescent="0.25">
      <c r="A557" s="18">
        <v>1955</v>
      </c>
      <c r="B557" s="18" t="s">
        <v>35</v>
      </c>
      <c r="C557" s="18">
        <v>0</v>
      </c>
      <c r="D557" s="18">
        <v>0</v>
      </c>
      <c r="E557" s="18">
        <v>0</v>
      </c>
    </row>
    <row r="558" spans="1:5" x14ac:dyDescent="0.25">
      <c r="A558" s="18">
        <v>1956</v>
      </c>
      <c r="B558" s="18" t="s">
        <v>35</v>
      </c>
      <c r="C558" s="18">
        <v>0</v>
      </c>
      <c r="D558" s="18">
        <v>0</v>
      </c>
      <c r="E558" s="18">
        <v>0</v>
      </c>
    </row>
    <row r="559" spans="1:5" x14ac:dyDescent="0.25">
      <c r="A559" s="18">
        <v>1957</v>
      </c>
      <c r="B559" s="18" t="s">
        <v>35</v>
      </c>
      <c r="C559" s="18">
        <v>0</v>
      </c>
      <c r="D559" s="18">
        <v>0</v>
      </c>
      <c r="E559" s="18">
        <v>0</v>
      </c>
    </row>
    <row r="560" spans="1:5" x14ac:dyDescent="0.25">
      <c r="A560" s="18">
        <v>1958</v>
      </c>
      <c r="B560" s="18" t="s">
        <v>35</v>
      </c>
      <c r="C560" s="18">
        <v>0</v>
      </c>
      <c r="D560" s="18">
        <v>0</v>
      </c>
      <c r="E560" s="18">
        <v>0</v>
      </c>
    </row>
    <row r="561" spans="1:5" x14ac:dyDescent="0.25">
      <c r="A561" s="18">
        <v>1959</v>
      </c>
      <c r="B561" s="18" t="s">
        <v>35</v>
      </c>
      <c r="C561" s="18">
        <v>0</v>
      </c>
      <c r="D561" s="18">
        <v>0</v>
      </c>
      <c r="E561" s="18">
        <v>0</v>
      </c>
    </row>
    <row r="562" spans="1:5" x14ac:dyDescent="0.25">
      <c r="A562" s="18">
        <v>1960</v>
      </c>
      <c r="B562" s="18" t="s">
        <v>35</v>
      </c>
      <c r="C562" s="18">
        <v>0</v>
      </c>
      <c r="D562" s="18">
        <v>0</v>
      </c>
      <c r="E562" s="18">
        <v>0</v>
      </c>
    </row>
    <row r="563" spans="1:5" x14ac:dyDescent="0.25">
      <c r="A563" s="18">
        <v>1961</v>
      </c>
      <c r="B563" s="18" t="s">
        <v>35</v>
      </c>
      <c r="C563" s="18">
        <v>0</v>
      </c>
      <c r="D563" s="18">
        <v>0</v>
      </c>
      <c r="E563" s="18">
        <v>0</v>
      </c>
    </row>
    <row r="564" spans="1:5" x14ac:dyDescent="0.25">
      <c r="A564" s="18">
        <v>1962</v>
      </c>
      <c r="B564" s="18" t="s">
        <v>35</v>
      </c>
      <c r="C564" s="18">
        <v>0</v>
      </c>
      <c r="D564" s="18">
        <v>0</v>
      </c>
      <c r="E564" s="18">
        <v>0</v>
      </c>
    </row>
    <row r="565" spans="1:5" x14ac:dyDescent="0.25">
      <c r="A565" s="18">
        <v>1963</v>
      </c>
      <c r="B565" s="18" t="s">
        <v>35</v>
      </c>
      <c r="C565" s="18">
        <v>0</v>
      </c>
      <c r="D565" s="18">
        <v>0</v>
      </c>
      <c r="E565" s="18">
        <v>0</v>
      </c>
    </row>
    <row r="566" spans="1:5" x14ac:dyDescent="0.25">
      <c r="A566" s="18">
        <v>1964</v>
      </c>
      <c r="B566" s="18" t="s">
        <v>35</v>
      </c>
      <c r="C566" s="18">
        <v>0</v>
      </c>
      <c r="D566" s="18">
        <v>0</v>
      </c>
      <c r="E566" s="18">
        <v>0</v>
      </c>
    </row>
    <row r="567" spans="1:5" x14ac:dyDescent="0.25">
      <c r="A567" s="18">
        <v>1965</v>
      </c>
      <c r="B567" s="18" t="s">
        <v>35</v>
      </c>
      <c r="C567" s="18">
        <v>0</v>
      </c>
      <c r="D567" s="18">
        <v>0</v>
      </c>
      <c r="E567" s="18">
        <v>0</v>
      </c>
    </row>
    <row r="568" spans="1:5" x14ac:dyDescent="0.25">
      <c r="A568" s="18">
        <v>1966</v>
      </c>
      <c r="B568" s="18" t="s">
        <v>35</v>
      </c>
      <c r="C568" s="18">
        <v>0</v>
      </c>
      <c r="D568" s="18">
        <v>0</v>
      </c>
      <c r="E568" s="18">
        <v>0</v>
      </c>
    </row>
    <row r="569" spans="1:5" x14ac:dyDescent="0.25">
      <c r="A569" s="18">
        <v>1967</v>
      </c>
      <c r="B569" s="18" t="s">
        <v>35</v>
      </c>
      <c r="C569" s="18">
        <v>0</v>
      </c>
      <c r="D569" s="18">
        <v>0</v>
      </c>
      <c r="E569" s="18">
        <v>0</v>
      </c>
    </row>
    <row r="570" spans="1:5" x14ac:dyDescent="0.25">
      <c r="A570" s="18">
        <v>1968</v>
      </c>
      <c r="B570" s="18" t="s">
        <v>35</v>
      </c>
      <c r="C570" s="18">
        <v>0</v>
      </c>
      <c r="D570" s="18">
        <v>0</v>
      </c>
      <c r="E570" s="18">
        <v>0</v>
      </c>
    </row>
    <row r="571" spans="1:5" x14ac:dyDescent="0.25">
      <c r="A571" s="18">
        <v>1969</v>
      </c>
      <c r="B571" s="18" t="s">
        <v>35</v>
      </c>
      <c r="C571" s="18">
        <v>0</v>
      </c>
      <c r="D571" s="18">
        <v>0</v>
      </c>
      <c r="E571" s="18">
        <v>0</v>
      </c>
    </row>
    <row r="572" spans="1:5" x14ac:dyDescent="0.25">
      <c r="A572" s="18">
        <v>1970</v>
      </c>
      <c r="B572" s="18" t="s">
        <v>35</v>
      </c>
      <c r="C572" s="18">
        <v>0</v>
      </c>
      <c r="D572" s="18">
        <v>0</v>
      </c>
      <c r="E572" s="18">
        <v>0</v>
      </c>
    </row>
    <row r="573" spans="1:5" x14ac:dyDescent="0.25">
      <c r="A573" s="18">
        <v>1971</v>
      </c>
      <c r="B573" s="18" t="s">
        <v>35</v>
      </c>
      <c r="C573" s="18">
        <v>0</v>
      </c>
      <c r="D573" s="18">
        <v>0</v>
      </c>
      <c r="E573" s="18">
        <v>0</v>
      </c>
    </row>
    <row r="574" spans="1:5" x14ac:dyDescent="0.25">
      <c r="A574" s="18">
        <v>1972</v>
      </c>
      <c r="B574" s="18" t="s">
        <v>35</v>
      </c>
      <c r="C574" s="18">
        <v>0</v>
      </c>
      <c r="D574" s="18">
        <v>0</v>
      </c>
      <c r="E574" s="18">
        <v>0</v>
      </c>
    </row>
    <row r="575" spans="1:5" x14ac:dyDescent="0.25">
      <c r="A575" s="18">
        <v>1973</v>
      </c>
      <c r="B575" s="18" t="s">
        <v>35</v>
      </c>
      <c r="C575" s="18">
        <v>0</v>
      </c>
      <c r="D575" s="18">
        <v>0</v>
      </c>
      <c r="E575" s="18">
        <v>0</v>
      </c>
    </row>
    <row r="576" spans="1:5" x14ac:dyDescent="0.25">
      <c r="A576" s="18">
        <v>1974</v>
      </c>
      <c r="B576" s="18" t="s">
        <v>35</v>
      </c>
      <c r="C576" s="18">
        <v>0</v>
      </c>
      <c r="D576" s="18">
        <v>0</v>
      </c>
      <c r="E576" s="18">
        <v>0</v>
      </c>
    </row>
    <row r="577" spans="1:5" x14ac:dyDescent="0.25">
      <c r="A577" s="18">
        <v>1975</v>
      </c>
      <c r="B577" s="18" t="s">
        <v>35</v>
      </c>
      <c r="C577" s="18">
        <v>1885</v>
      </c>
      <c r="D577" s="18">
        <v>2095</v>
      </c>
      <c r="E577" s="18">
        <v>3981</v>
      </c>
    </row>
    <row r="578" spans="1:5" x14ac:dyDescent="0.25">
      <c r="A578" s="18">
        <v>1976</v>
      </c>
      <c r="B578" s="18" t="s">
        <v>35</v>
      </c>
      <c r="C578" s="18">
        <v>0</v>
      </c>
      <c r="D578" s="18">
        <v>0</v>
      </c>
      <c r="E578" s="18">
        <v>0</v>
      </c>
    </row>
    <row r="579" spans="1:5" x14ac:dyDescent="0.25">
      <c r="A579" s="18">
        <v>1977</v>
      </c>
      <c r="B579" s="18" t="s">
        <v>35</v>
      </c>
      <c r="C579" s="18">
        <v>0</v>
      </c>
      <c r="D579" s="18">
        <v>0</v>
      </c>
      <c r="E579" s="18">
        <v>0</v>
      </c>
    </row>
    <row r="580" spans="1:5" x14ac:dyDescent="0.25">
      <c r="A580" s="18">
        <v>1978</v>
      </c>
      <c r="B580" s="18" t="s">
        <v>35</v>
      </c>
      <c r="C580" s="18">
        <v>0</v>
      </c>
      <c r="D580" s="18">
        <v>0</v>
      </c>
      <c r="E580" s="18">
        <v>0</v>
      </c>
    </row>
    <row r="581" spans="1:5" x14ac:dyDescent="0.25">
      <c r="A581" s="18">
        <v>1979</v>
      </c>
      <c r="B581" s="18" t="s">
        <v>35</v>
      </c>
      <c r="C581" s="18">
        <v>0</v>
      </c>
      <c r="D581" s="18">
        <v>0</v>
      </c>
      <c r="E581" s="18">
        <v>0</v>
      </c>
    </row>
    <row r="582" spans="1:5" x14ac:dyDescent="0.25">
      <c r="A582" s="18">
        <v>1980</v>
      </c>
      <c r="B582" s="18" t="s">
        <v>35</v>
      </c>
      <c r="C582" s="18">
        <v>1874</v>
      </c>
      <c r="D582" s="18">
        <v>1958</v>
      </c>
      <c r="E582" s="18">
        <v>3832</v>
      </c>
    </row>
    <row r="583" spans="1:5" x14ac:dyDescent="0.25">
      <c r="A583" s="18">
        <v>1981</v>
      </c>
      <c r="B583" s="18" t="s">
        <v>35</v>
      </c>
      <c r="C583" s="18">
        <v>0</v>
      </c>
      <c r="D583" s="18">
        <v>0</v>
      </c>
      <c r="E583" s="18">
        <v>0</v>
      </c>
    </row>
    <row r="584" spans="1:5" x14ac:dyDescent="0.25">
      <c r="A584" s="18">
        <v>1982</v>
      </c>
      <c r="B584" s="18" t="s">
        <v>35</v>
      </c>
      <c r="C584" s="18">
        <v>0</v>
      </c>
      <c r="D584" s="18">
        <v>0</v>
      </c>
      <c r="E584" s="18">
        <v>0</v>
      </c>
    </row>
    <row r="585" spans="1:5" x14ac:dyDescent="0.25">
      <c r="A585" s="18">
        <v>1983</v>
      </c>
      <c r="B585" s="18" t="s">
        <v>35</v>
      </c>
      <c r="C585" s="18">
        <v>0</v>
      </c>
      <c r="D585" s="18">
        <v>0</v>
      </c>
      <c r="E585" s="18">
        <v>0</v>
      </c>
    </row>
    <row r="586" spans="1:5" x14ac:dyDescent="0.25">
      <c r="A586" s="18">
        <v>1984</v>
      </c>
      <c r="B586" s="18" t="s">
        <v>35</v>
      </c>
      <c r="C586" s="18">
        <v>0</v>
      </c>
      <c r="D586" s="18">
        <v>0</v>
      </c>
      <c r="E586" s="18">
        <v>0</v>
      </c>
    </row>
    <row r="587" spans="1:5" x14ac:dyDescent="0.25">
      <c r="A587" s="18">
        <v>1985</v>
      </c>
      <c r="B587" s="18" t="s">
        <v>35</v>
      </c>
      <c r="C587" s="18">
        <v>1877</v>
      </c>
      <c r="D587" s="18">
        <v>1941</v>
      </c>
      <c r="E587" s="18">
        <v>3818</v>
      </c>
    </row>
    <row r="588" spans="1:5" x14ac:dyDescent="0.25">
      <c r="A588" s="18">
        <v>1986</v>
      </c>
      <c r="B588" s="18" t="s">
        <v>35</v>
      </c>
      <c r="C588" s="18">
        <v>0</v>
      </c>
      <c r="D588" s="18">
        <v>0</v>
      </c>
      <c r="E588" s="18">
        <v>0</v>
      </c>
    </row>
    <row r="589" spans="1:5" x14ac:dyDescent="0.25">
      <c r="A589" s="18">
        <v>1987</v>
      </c>
      <c r="B589" s="18" t="s">
        <v>35</v>
      </c>
      <c r="C589" s="18">
        <v>0</v>
      </c>
      <c r="D589" s="18">
        <v>0</v>
      </c>
      <c r="E589" s="18">
        <v>0</v>
      </c>
    </row>
    <row r="590" spans="1:5" x14ac:dyDescent="0.25">
      <c r="A590" s="18">
        <v>1988</v>
      </c>
      <c r="B590" s="18" t="s">
        <v>35</v>
      </c>
      <c r="C590" s="18">
        <v>0</v>
      </c>
      <c r="D590" s="18">
        <v>0</v>
      </c>
      <c r="E590" s="18">
        <v>0</v>
      </c>
    </row>
    <row r="591" spans="1:5" x14ac:dyDescent="0.25">
      <c r="A591" s="18">
        <v>1989</v>
      </c>
      <c r="B591" s="18" t="s">
        <v>35</v>
      </c>
      <c r="C591" s="18">
        <v>0</v>
      </c>
      <c r="D591" s="18">
        <v>0</v>
      </c>
      <c r="E591" s="18">
        <v>0</v>
      </c>
    </row>
    <row r="592" spans="1:5" x14ac:dyDescent="0.25">
      <c r="A592" s="18">
        <v>1990</v>
      </c>
      <c r="B592" s="18" t="s">
        <v>35</v>
      </c>
      <c r="C592" s="18">
        <v>2252</v>
      </c>
      <c r="D592" s="18">
        <v>2403</v>
      </c>
      <c r="E592" s="18">
        <v>4655</v>
      </c>
    </row>
    <row r="593" spans="1:5" x14ac:dyDescent="0.25">
      <c r="A593" s="18">
        <v>1991</v>
      </c>
      <c r="B593" s="18" t="s">
        <v>35</v>
      </c>
      <c r="C593" s="18">
        <v>0</v>
      </c>
      <c r="D593" s="18">
        <v>0</v>
      </c>
      <c r="E593" s="18">
        <v>0</v>
      </c>
    </row>
    <row r="594" spans="1:5" x14ac:dyDescent="0.25">
      <c r="A594" s="18">
        <v>1992</v>
      </c>
      <c r="B594" s="18" t="s">
        <v>35</v>
      </c>
      <c r="C594" s="18">
        <v>0</v>
      </c>
      <c r="D594" s="18">
        <v>0</v>
      </c>
      <c r="E594" s="18">
        <v>0</v>
      </c>
    </row>
    <row r="595" spans="1:5" x14ac:dyDescent="0.25">
      <c r="A595" s="18">
        <v>1993</v>
      </c>
      <c r="B595" s="18" t="s">
        <v>35</v>
      </c>
      <c r="C595" s="18">
        <v>0</v>
      </c>
      <c r="D595" s="18">
        <v>0</v>
      </c>
      <c r="E595" s="18">
        <v>0</v>
      </c>
    </row>
    <row r="596" spans="1:5" x14ac:dyDescent="0.25">
      <c r="A596" s="18">
        <v>1994</v>
      </c>
      <c r="B596" s="18" t="s">
        <v>35</v>
      </c>
      <c r="C596" s="18">
        <v>0</v>
      </c>
      <c r="D596" s="18">
        <v>0</v>
      </c>
      <c r="E596" s="18">
        <v>0</v>
      </c>
    </row>
    <row r="597" spans="1:5" x14ac:dyDescent="0.25">
      <c r="A597" s="18">
        <v>1995</v>
      </c>
      <c r="B597" s="18" t="s">
        <v>35</v>
      </c>
      <c r="C597" s="18">
        <v>0</v>
      </c>
      <c r="D597" s="18">
        <v>0</v>
      </c>
      <c r="E597" s="18">
        <v>0</v>
      </c>
    </row>
    <row r="598" spans="1:5" x14ac:dyDescent="0.25">
      <c r="A598" s="18">
        <v>1996</v>
      </c>
      <c r="B598" s="18" t="s">
        <v>35</v>
      </c>
      <c r="C598" s="18">
        <v>0</v>
      </c>
      <c r="D598" s="18">
        <v>0</v>
      </c>
      <c r="E598" s="18">
        <v>0</v>
      </c>
    </row>
    <row r="599" spans="1:5" x14ac:dyDescent="0.25">
      <c r="A599" s="18">
        <v>1997</v>
      </c>
      <c r="B599" s="18" t="s">
        <v>35</v>
      </c>
      <c r="C599" s="18">
        <v>0</v>
      </c>
      <c r="D599" s="18">
        <v>0</v>
      </c>
      <c r="E599" s="18">
        <v>0</v>
      </c>
    </row>
    <row r="600" spans="1:5" x14ac:dyDescent="0.25">
      <c r="A600" s="18">
        <v>1998</v>
      </c>
      <c r="B600" s="18" t="s">
        <v>35</v>
      </c>
      <c r="C600" s="18">
        <v>0</v>
      </c>
      <c r="D600" s="18">
        <v>0</v>
      </c>
      <c r="E600" s="18">
        <v>0</v>
      </c>
    </row>
    <row r="601" spans="1:5" x14ac:dyDescent="0.25">
      <c r="A601" s="18">
        <v>1999</v>
      </c>
      <c r="B601" s="18" t="s">
        <v>35</v>
      </c>
      <c r="C601" s="18">
        <v>0</v>
      </c>
      <c r="D601" s="18">
        <v>0</v>
      </c>
      <c r="E601" s="18">
        <v>0</v>
      </c>
    </row>
    <row r="602" spans="1:5" x14ac:dyDescent="0.25">
      <c r="A602" s="18">
        <v>2000</v>
      </c>
      <c r="B602" s="18" t="s">
        <v>35</v>
      </c>
      <c r="C602" s="18">
        <v>2699</v>
      </c>
      <c r="D602" s="18">
        <v>2904</v>
      </c>
      <c r="E602" s="18">
        <v>5603</v>
      </c>
    </row>
    <row r="603" spans="1:5" x14ac:dyDescent="0.25">
      <c r="A603" s="18">
        <v>2001</v>
      </c>
      <c r="B603" s="18" t="s">
        <v>35</v>
      </c>
      <c r="C603" s="18">
        <v>0</v>
      </c>
      <c r="D603" s="18">
        <v>0</v>
      </c>
      <c r="E603" s="18">
        <v>0</v>
      </c>
    </row>
    <row r="604" spans="1:5" x14ac:dyDescent="0.25">
      <c r="A604" s="18">
        <v>2002</v>
      </c>
      <c r="B604" s="18" t="s">
        <v>35</v>
      </c>
      <c r="C604" s="18">
        <v>0</v>
      </c>
      <c r="D604" s="18">
        <v>0</v>
      </c>
      <c r="E604" s="18">
        <v>0</v>
      </c>
    </row>
    <row r="605" spans="1:5" x14ac:dyDescent="0.25">
      <c r="A605" s="18">
        <v>2003</v>
      </c>
      <c r="B605" s="18" t="s">
        <v>35</v>
      </c>
      <c r="C605" s="18">
        <v>0</v>
      </c>
      <c r="D605" s="18">
        <v>0</v>
      </c>
      <c r="E605" s="18">
        <v>0</v>
      </c>
    </row>
    <row r="606" spans="1:5" x14ac:dyDescent="0.25">
      <c r="A606" s="18">
        <v>2004</v>
      </c>
      <c r="B606" s="18" t="s">
        <v>35</v>
      </c>
      <c r="C606" s="18">
        <v>0</v>
      </c>
      <c r="D606" s="18">
        <v>0</v>
      </c>
      <c r="E606" s="18">
        <v>0</v>
      </c>
    </row>
    <row r="607" spans="1:5" x14ac:dyDescent="0.25">
      <c r="A607" s="18">
        <v>2005</v>
      </c>
      <c r="B607" s="18" t="s">
        <v>35</v>
      </c>
      <c r="C607" s="18">
        <v>0</v>
      </c>
      <c r="D607" s="18">
        <v>0</v>
      </c>
      <c r="E607" s="18">
        <v>0</v>
      </c>
    </row>
    <row r="608" spans="1:5" x14ac:dyDescent="0.25">
      <c r="A608" s="18">
        <v>2006</v>
      </c>
      <c r="B608" s="18" t="s">
        <v>35</v>
      </c>
      <c r="C608" s="18">
        <v>0</v>
      </c>
      <c r="D608" s="18">
        <v>0</v>
      </c>
      <c r="E608" s="18">
        <v>0</v>
      </c>
    </row>
    <row r="609" spans="1:5" x14ac:dyDescent="0.25">
      <c r="A609" s="18">
        <v>2007</v>
      </c>
      <c r="B609" s="18" t="s">
        <v>35</v>
      </c>
      <c r="C609" s="18">
        <v>0</v>
      </c>
      <c r="D609" s="18">
        <v>0</v>
      </c>
      <c r="E609" s="18">
        <v>0</v>
      </c>
    </row>
    <row r="610" spans="1:5" x14ac:dyDescent="0.25">
      <c r="A610" s="18">
        <v>2008</v>
      </c>
      <c r="B610" s="18" t="s">
        <v>35</v>
      </c>
      <c r="C610" s="18">
        <v>0</v>
      </c>
      <c r="D610" s="18">
        <v>0</v>
      </c>
      <c r="E610" s="18">
        <v>0</v>
      </c>
    </row>
    <row r="611" spans="1:5" x14ac:dyDescent="0.25">
      <c r="A611" s="18">
        <v>1950</v>
      </c>
      <c r="B611" s="18" t="s">
        <v>36</v>
      </c>
      <c r="C611" s="18">
        <v>0</v>
      </c>
      <c r="D611" s="18">
        <v>0</v>
      </c>
      <c r="E611" s="18">
        <v>0</v>
      </c>
    </row>
    <row r="612" spans="1:5" x14ac:dyDescent="0.25">
      <c r="A612" s="18">
        <v>1951</v>
      </c>
      <c r="B612" s="18" t="s">
        <v>36</v>
      </c>
      <c r="C612" s="18">
        <v>0</v>
      </c>
      <c r="D612" s="18">
        <v>0</v>
      </c>
      <c r="E612" s="18">
        <v>0</v>
      </c>
    </row>
    <row r="613" spans="1:5" x14ac:dyDescent="0.25">
      <c r="A613" s="18">
        <v>1952</v>
      </c>
      <c r="B613" s="18" t="s">
        <v>36</v>
      </c>
      <c r="C613" s="18">
        <v>0</v>
      </c>
      <c r="D613" s="18">
        <v>0</v>
      </c>
      <c r="E613" s="18">
        <v>0</v>
      </c>
    </row>
    <row r="614" spans="1:5" x14ac:dyDescent="0.25">
      <c r="A614" s="18">
        <v>1953</v>
      </c>
      <c r="B614" s="18" t="s">
        <v>36</v>
      </c>
      <c r="C614" s="18">
        <v>0</v>
      </c>
      <c r="D614" s="18">
        <v>0</v>
      </c>
      <c r="E614" s="18">
        <v>0</v>
      </c>
    </row>
    <row r="615" spans="1:5" x14ac:dyDescent="0.25">
      <c r="A615" s="18">
        <v>1954</v>
      </c>
      <c r="B615" s="18" t="s">
        <v>36</v>
      </c>
      <c r="C615" s="18">
        <v>0</v>
      </c>
      <c r="D615" s="18">
        <v>0</v>
      </c>
      <c r="E615" s="18">
        <v>0</v>
      </c>
    </row>
    <row r="616" spans="1:5" x14ac:dyDescent="0.25">
      <c r="A616" s="18">
        <v>1955</v>
      </c>
      <c r="B616" s="18" t="s">
        <v>36</v>
      </c>
      <c r="C616" s="18">
        <v>0</v>
      </c>
      <c r="D616" s="18">
        <v>0</v>
      </c>
      <c r="E616" s="18">
        <v>0</v>
      </c>
    </row>
    <row r="617" spans="1:5" x14ac:dyDescent="0.25">
      <c r="A617" s="18">
        <v>1956</v>
      </c>
      <c r="B617" s="18" t="s">
        <v>36</v>
      </c>
      <c r="C617" s="18">
        <v>0</v>
      </c>
      <c r="D617" s="18">
        <v>0</v>
      </c>
      <c r="E617" s="18">
        <v>0</v>
      </c>
    </row>
    <row r="618" spans="1:5" x14ac:dyDescent="0.25">
      <c r="A618" s="18">
        <v>1957</v>
      </c>
      <c r="B618" s="18" t="s">
        <v>36</v>
      </c>
      <c r="C618" s="18">
        <v>0</v>
      </c>
      <c r="D618" s="18">
        <v>0</v>
      </c>
      <c r="E618" s="18">
        <v>0</v>
      </c>
    </row>
    <row r="619" spans="1:5" x14ac:dyDescent="0.25">
      <c r="A619" s="18">
        <v>1958</v>
      </c>
      <c r="B619" s="18" t="s">
        <v>36</v>
      </c>
      <c r="C619" s="18">
        <v>0</v>
      </c>
      <c r="D619" s="18">
        <v>0</v>
      </c>
      <c r="E619" s="18">
        <v>0</v>
      </c>
    </row>
    <row r="620" spans="1:5" x14ac:dyDescent="0.25">
      <c r="A620" s="18">
        <v>1959</v>
      </c>
      <c r="B620" s="18" t="s">
        <v>36</v>
      </c>
      <c r="C620" s="18">
        <v>0</v>
      </c>
      <c r="D620" s="18">
        <v>0</v>
      </c>
      <c r="E620" s="18">
        <v>0</v>
      </c>
    </row>
    <row r="621" spans="1:5" x14ac:dyDescent="0.25">
      <c r="A621" s="18">
        <v>1960</v>
      </c>
      <c r="B621" s="18" t="s">
        <v>36</v>
      </c>
      <c r="C621" s="18">
        <v>0</v>
      </c>
      <c r="D621" s="18">
        <v>0</v>
      </c>
      <c r="E621" s="18">
        <v>0</v>
      </c>
    </row>
    <row r="622" spans="1:5" x14ac:dyDescent="0.25">
      <c r="A622" s="18">
        <v>1961</v>
      </c>
      <c r="B622" s="18" t="s">
        <v>36</v>
      </c>
      <c r="C622" s="18">
        <v>0</v>
      </c>
      <c r="D622" s="18">
        <v>0</v>
      </c>
      <c r="E622" s="18">
        <v>0</v>
      </c>
    </row>
    <row r="623" spans="1:5" x14ac:dyDescent="0.25">
      <c r="A623" s="18">
        <v>1962</v>
      </c>
      <c r="B623" s="18" t="s">
        <v>36</v>
      </c>
      <c r="C623" s="18">
        <v>0</v>
      </c>
      <c r="D623" s="18">
        <v>0</v>
      </c>
      <c r="E623" s="18">
        <v>0</v>
      </c>
    </row>
    <row r="624" spans="1:5" x14ac:dyDescent="0.25">
      <c r="A624" s="18">
        <v>1963</v>
      </c>
      <c r="B624" s="18" t="s">
        <v>36</v>
      </c>
      <c r="C624" s="18">
        <v>0</v>
      </c>
      <c r="D624" s="18">
        <v>0</v>
      </c>
      <c r="E624" s="18">
        <v>0</v>
      </c>
    </row>
    <row r="625" spans="1:5" x14ac:dyDescent="0.25">
      <c r="A625" s="18">
        <v>1964</v>
      </c>
      <c r="B625" s="18" t="s">
        <v>36</v>
      </c>
      <c r="C625" s="18">
        <v>0</v>
      </c>
      <c r="D625" s="18">
        <v>0</v>
      </c>
      <c r="E625" s="18">
        <v>0</v>
      </c>
    </row>
    <row r="626" spans="1:5" x14ac:dyDescent="0.25">
      <c r="A626" s="18">
        <v>1965</v>
      </c>
      <c r="B626" s="18" t="s">
        <v>36</v>
      </c>
      <c r="C626" s="18">
        <v>0</v>
      </c>
      <c r="D626" s="18">
        <v>0</v>
      </c>
      <c r="E626" s="18">
        <v>0</v>
      </c>
    </row>
    <row r="627" spans="1:5" x14ac:dyDescent="0.25">
      <c r="A627" s="18">
        <v>1966</v>
      </c>
      <c r="B627" s="18" t="s">
        <v>36</v>
      </c>
      <c r="C627" s="18">
        <v>0</v>
      </c>
      <c r="D627" s="18">
        <v>0</v>
      </c>
      <c r="E627" s="18">
        <v>0</v>
      </c>
    </row>
    <row r="628" spans="1:5" x14ac:dyDescent="0.25">
      <c r="A628" s="18">
        <v>1967</v>
      </c>
      <c r="B628" s="18" t="s">
        <v>36</v>
      </c>
      <c r="C628" s="18">
        <v>0</v>
      </c>
      <c r="D628" s="18">
        <v>0</v>
      </c>
      <c r="E628" s="18">
        <v>0</v>
      </c>
    </row>
    <row r="629" spans="1:5" x14ac:dyDescent="0.25">
      <c r="A629" s="18">
        <v>1968</v>
      </c>
      <c r="B629" s="18" t="s">
        <v>36</v>
      </c>
      <c r="C629" s="18">
        <v>0</v>
      </c>
      <c r="D629" s="18">
        <v>0</v>
      </c>
      <c r="E629" s="18">
        <v>0</v>
      </c>
    </row>
    <row r="630" spans="1:5" x14ac:dyDescent="0.25">
      <c r="A630" s="18">
        <v>1969</v>
      </c>
      <c r="B630" s="18" t="s">
        <v>36</v>
      </c>
      <c r="C630" s="18">
        <v>0</v>
      </c>
      <c r="D630" s="18">
        <v>0</v>
      </c>
      <c r="E630" s="18">
        <v>0</v>
      </c>
    </row>
    <row r="631" spans="1:5" x14ac:dyDescent="0.25">
      <c r="A631" s="18">
        <v>1970</v>
      </c>
      <c r="B631" s="18" t="s">
        <v>36</v>
      </c>
      <c r="C631" s="18">
        <v>0</v>
      </c>
      <c r="D631" s="18">
        <v>0</v>
      </c>
      <c r="E631" s="18">
        <v>0</v>
      </c>
    </row>
    <row r="632" spans="1:5" x14ac:dyDescent="0.25">
      <c r="A632" s="18">
        <v>1971</v>
      </c>
      <c r="B632" s="18" t="s">
        <v>36</v>
      </c>
      <c r="C632" s="18">
        <v>0</v>
      </c>
      <c r="D632" s="18">
        <v>0</v>
      </c>
      <c r="E632" s="18">
        <v>0</v>
      </c>
    </row>
    <row r="633" spans="1:5" x14ac:dyDescent="0.25">
      <c r="A633" s="18">
        <v>1972</v>
      </c>
      <c r="B633" s="18" t="s">
        <v>36</v>
      </c>
      <c r="C633" s="18">
        <v>0</v>
      </c>
      <c r="D633" s="18">
        <v>0</v>
      </c>
      <c r="E633" s="18">
        <v>0</v>
      </c>
    </row>
    <row r="634" spans="1:5" x14ac:dyDescent="0.25">
      <c r="A634" s="18">
        <v>1973</v>
      </c>
      <c r="B634" s="18" t="s">
        <v>36</v>
      </c>
      <c r="C634" s="18">
        <v>0</v>
      </c>
      <c r="D634" s="18">
        <v>0</v>
      </c>
      <c r="E634" s="18">
        <v>0</v>
      </c>
    </row>
    <row r="635" spans="1:5" x14ac:dyDescent="0.25">
      <c r="A635" s="18">
        <v>1974</v>
      </c>
      <c r="B635" s="18" t="s">
        <v>36</v>
      </c>
      <c r="C635" s="18">
        <v>0</v>
      </c>
      <c r="D635" s="18">
        <v>0</v>
      </c>
      <c r="E635" s="18">
        <v>0</v>
      </c>
    </row>
    <row r="636" spans="1:5" x14ac:dyDescent="0.25">
      <c r="A636" s="18">
        <v>1975</v>
      </c>
      <c r="B636" s="18" t="s">
        <v>36</v>
      </c>
      <c r="C636" s="18">
        <v>1874</v>
      </c>
      <c r="D636" s="18">
        <v>1981</v>
      </c>
      <c r="E636" s="18">
        <v>3857</v>
      </c>
    </row>
    <row r="637" spans="1:5" x14ac:dyDescent="0.25">
      <c r="A637" s="18">
        <v>1976</v>
      </c>
      <c r="B637" s="18" t="s">
        <v>36</v>
      </c>
      <c r="C637" s="18">
        <v>0</v>
      </c>
      <c r="D637" s="18">
        <v>0</v>
      </c>
      <c r="E637" s="18">
        <v>0</v>
      </c>
    </row>
    <row r="638" spans="1:5" x14ac:dyDescent="0.25">
      <c r="A638" s="18">
        <v>1977</v>
      </c>
      <c r="B638" s="18" t="s">
        <v>36</v>
      </c>
      <c r="C638" s="18">
        <v>0</v>
      </c>
      <c r="D638" s="18">
        <v>0</v>
      </c>
      <c r="E638" s="18">
        <v>0</v>
      </c>
    </row>
    <row r="639" spans="1:5" x14ac:dyDescent="0.25">
      <c r="A639" s="18">
        <v>1978</v>
      </c>
      <c r="B639" s="18" t="s">
        <v>36</v>
      </c>
      <c r="C639" s="18">
        <v>0</v>
      </c>
      <c r="D639" s="18">
        <v>0</v>
      </c>
      <c r="E639" s="18">
        <v>0</v>
      </c>
    </row>
    <row r="640" spans="1:5" x14ac:dyDescent="0.25">
      <c r="A640" s="18">
        <v>1979</v>
      </c>
      <c r="B640" s="18" t="s">
        <v>36</v>
      </c>
      <c r="C640" s="18">
        <v>0</v>
      </c>
      <c r="D640" s="18">
        <v>0</v>
      </c>
      <c r="E640" s="18">
        <v>0</v>
      </c>
    </row>
    <row r="641" spans="1:5" x14ac:dyDescent="0.25">
      <c r="A641" s="18">
        <v>1980</v>
      </c>
      <c r="B641" s="18" t="s">
        <v>36</v>
      </c>
      <c r="C641" s="18">
        <v>2362</v>
      </c>
      <c r="D641" s="18">
        <v>2463</v>
      </c>
      <c r="E641" s="18">
        <v>4826</v>
      </c>
    </row>
    <row r="642" spans="1:5" x14ac:dyDescent="0.25">
      <c r="A642" s="18">
        <v>1981</v>
      </c>
      <c r="B642" s="18" t="s">
        <v>36</v>
      </c>
      <c r="C642" s="18">
        <v>0</v>
      </c>
      <c r="D642" s="18">
        <v>0</v>
      </c>
      <c r="E642" s="18">
        <v>0</v>
      </c>
    </row>
    <row r="643" spans="1:5" x14ac:dyDescent="0.25">
      <c r="A643" s="18">
        <v>1982</v>
      </c>
      <c r="B643" s="18" t="s">
        <v>36</v>
      </c>
      <c r="C643" s="18">
        <v>0</v>
      </c>
      <c r="D643" s="18">
        <v>0</v>
      </c>
      <c r="E643" s="18">
        <v>0</v>
      </c>
    </row>
    <row r="644" spans="1:5" x14ac:dyDescent="0.25">
      <c r="A644" s="18">
        <v>1983</v>
      </c>
      <c r="B644" s="18" t="s">
        <v>36</v>
      </c>
      <c r="C644" s="18">
        <v>0</v>
      </c>
      <c r="D644" s="18">
        <v>0</v>
      </c>
      <c r="E644" s="18">
        <v>0</v>
      </c>
    </row>
    <row r="645" spans="1:5" x14ac:dyDescent="0.25">
      <c r="A645" s="18">
        <v>1984</v>
      </c>
      <c r="B645" s="18" t="s">
        <v>36</v>
      </c>
      <c r="C645" s="18">
        <v>0</v>
      </c>
      <c r="D645" s="18">
        <v>0</v>
      </c>
      <c r="E645" s="18">
        <v>0</v>
      </c>
    </row>
    <row r="646" spans="1:5" x14ac:dyDescent="0.25">
      <c r="A646" s="18">
        <v>1985</v>
      </c>
      <c r="B646" s="18" t="s">
        <v>36</v>
      </c>
      <c r="C646" s="18">
        <v>2147</v>
      </c>
      <c r="D646" s="18">
        <v>2422</v>
      </c>
      <c r="E646" s="18">
        <v>4568</v>
      </c>
    </row>
    <row r="647" spans="1:5" x14ac:dyDescent="0.25">
      <c r="A647" s="18">
        <v>1986</v>
      </c>
      <c r="B647" s="18" t="s">
        <v>36</v>
      </c>
      <c r="C647" s="18">
        <v>0</v>
      </c>
      <c r="D647" s="18">
        <v>0</v>
      </c>
      <c r="E647" s="18">
        <v>0</v>
      </c>
    </row>
    <row r="648" spans="1:5" x14ac:dyDescent="0.25">
      <c r="A648" s="18">
        <v>1987</v>
      </c>
      <c r="B648" s="18" t="s">
        <v>36</v>
      </c>
      <c r="C648" s="18">
        <v>0</v>
      </c>
      <c r="D648" s="18">
        <v>0</v>
      </c>
      <c r="E648" s="18">
        <v>0</v>
      </c>
    </row>
    <row r="649" spans="1:5" x14ac:dyDescent="0.25">
      <c r="A649" s="18">
        <v>1988</v>
      </c>
      <c r="B649" s="18" t="s">
        <v>36</v>
      </c>
      <c r="C649" s="18">
        <v>0</v>
      </c>
      <c r="D649" s="18">
        <v>0</v>
      </c>
      <c r="E649" s="18">
        <v>0</v>
      </c>
    </row>
    <row r="650" spans="1:5" x14ac:dyDescent="0.25">
      <c r="A650" s="18">
        <v>1989</v>
      </c>
      <c r="B650" s="18" t="s">
        <v>36</v>
      </c>
      <c r="C650" s="18">
        <v>0</v>
      </c>
      <c r="D650" s="18">
        <v>0</v>
      </c>
      <c r="E650" s="18">
        <v>0</v>
      </c>
    </row>
    <row r="651" spans="1:5" x14ac:dyDescent="0.25">
      <c r="A651" s="18">
        <v>1990</v>
      </c>
      <c r="B651" s="18" t="s">
        <v>36</v>
      </c>
      <c r="C651" s="18">
        <v>2946</v>
      </c>
      <c r="D651" s="18">
        <v>3188</v>
      </c>
      <c r="E651" s="18">
        <v>6134</v>
      </c>
    </row>
    <row r="652" spans="1:5" x14ac:dyDescent="0.25">
      <c r="A652" s="18">
        <v>1991</v>
      </c>
      <c r="B652" s="18" t="s">
        <v>36</v>
      </c>
      <c r="C652" s="18">
        <v>0</v>
      </c>
      <c r="D652" s="18">
        <v>0</v>
      </c>
      <c r="E652" s="18">
        <v>0</v>
      </c>
    </row>
    <row r="653" spans="1:5" x14ac:dyDescent="0.25">
      <c r="A653" s="18">
        <v>1992</v>
      </c>
      <c r="B653" s="18" t="s">
        <v>36</v>
      </c>
      <c r="C653" s="18">
        <v>0</v>
      </c>
      <c r="D653" s="18">
        <v>0</v>
      </c>
      <c r="E653" s="18">
        <v>0</v>
      </c>
    </row>
    <row r="654" spans="1:5" x14ac:dyDescent="0.25">
      <c r="A654" s="18">
        <v>1993</v>
      </c>
      <c r="B654" s="18" t="s">
        <v>36</v>
      </c>
      <c r="C654" s="18">
        <v>0</v>
      </c>
      <c r="D654" s="18">
        <v>0</v>
      </c>
      <c r="E654" s="18">
        <v>0</v>
      </c>
    </row>
    <row r="655" spans="1:5" x14ac:dyDescent="0.25">
      <c r="A655" s="18">
        <v>1994</v>
      </c>
      <c r="B655" s="18" t="s">
        <v>36</v>
      </c>
      <c r="C655" s="18">
        <v>0</v>
      </c>
      <c r="D655" s="18">
        <v>0</v>
      </c>
      <c r="E655" s="18">
        <v>0</v>
      </c>
    </row>
    <row r="656" spans="1:5" x14ac:dyDescent="0.25">
      <c r="A656" s="18">
        <v>1995</v>
      </c>
      <c r="B656" s="18" t="s">
        <v>36</v>
      </c>
      <c r="C656" s="18">
        <v>0</v>
      </c>
      <c r="D656" s="18">
        <v>0</v>
      </c>
      <c r="E656" s="18">
        <v>0</v>
      </c>
    </row>
    <row r="657" spans="1:5" x14ac:dyDescent="0.25">
      <c r="A657" s="18">
        <v>1996</v>
      </c>
      <c r="B657" s="18" t="s">
        <v>36</v>
      </c>
      <c r="C657" s="18">
        <v>0</v>
      </c>
      <c r="D657" s="18">
        <v>0</v>
      </c>
      <c r="E657" s="18">
        <v>0</v>
      </c>
    </row>
    <row r="658" spans="1:5" x14ac:dyDescent="0.25">
      <c r="A658" s="18">
        <v>1997</v>
      </c>
      <c r="B658" s="18" t="s">
        <v>36</v>
      </c>
      <c r="C658" s="18">
        <v>0</v>
      </c>
      <c r="D658" s="18">
        <v>0</v>
      </c>
      <c r="E658" s="18">
        <v>0</v>
      </c>
    </row>
    <row r="659" spans="1:5" x14ac:dyDescent="0.25">
      <c r="A659" s="18">
        <v>1998</v>
      </c>
      <c r="B659" s="18" t="s">
        <v>36</v>
      </c>
      <c r="C659" s="18">
        <v>0</v>
      </c>
      <c r="D659" s="18">
        <v>0</v>
      </c>
      <c r="E659" s="18">
        <v>0</v>
      </c>
    </row>
    <row r="660" spans="1:5" x14ac:dyDescent="0.25">
      <c r="A660" s="18">
        <v>1999</v>
      </c>
      <c r="B660" s="18" t="s">
        <v>36</v>
      </c>
      <c r="C660" s="18">
        <v>0</v>
      </c>
      <c r="D660" s="18">
        <v>0</v>
      </c>
      <c r="E660" s="18">
        <v>0</v>
      </c>
    </row>
    <row r="661" spans="1:5" x14ac:dyDescent="0.25">
      <c r="A661" s="18">
        <v>2000</v>
      </c>
      <c r="B661" s="18" t="s">
        <v>36</v>
      </c>
      <c r="C661" s="18">
        <v>3537</v>
      </c>
      <c r="D661" s="18">
        <v>3649</v>
      </c>
      <c r="E661" s="18">
        <v>7186</v>
      </c>
    </row>
    <row r="662" spans="1:5" x14ac:dyDescent="0.25">
      <c r="A662" s="18">
        <v>2001</v>
      </c>
      <c r="B662" s="18" t="s">
        <v>36</v>
      </c>
      <c r="C662" s="18">
        <v>0</v>
      </c>
      <c r="D662" s="18">
        <v>0</v>
      </c>
      <c r="E662" s="18">
        <v>0</v>
      </c>
    </row>
    <row r="663" spans="1:5" x14ac:dyDescent="0.25">
      <c r="A663" s="18">
        <v>2002</v>
      </c>
      <c r="B663" s="18" t="s">
        <v>36</v>
      </c>
      <c r="C663" s="18">
        <v>0</v>
      </c>
      <c r="D663" s="18">
        <v>0</v>
      </c>
      <c r="E663" s="18">
        <v>0</v>
      </c>
    </row>
    <row r="664" spans="1:5" x14ac:dyDescent="0.25">
      <c r="A664" s="18">
        <v>2003</v>
      </c>
      <c r="B664" s="18" t="s">
        <v>36</v>
      </c>
      <c r="C664" s="18">
        <v>0</v>
      </c>
      <c r="D664" s="18">
        <v>0</v>
      </c>
      <c r="E664" s="18">
        <v>0</v>
      </c>
    </row>
    <row r="665" spans="1:5" x14ac:dyDescent="0.25">
      <c r="A665" s="18">
        <v>2004</v>
      </c>
      <c r="B665" s="18" t="s">
        <v>36</v>
      </c>
      <c r="C665" s="18">
        <v>0</v>
      </c>
      <c r="D665" s="18">
        <v>0</v>
      </c>
      <c r="E665" s="18">
        <v>0</v>
      </c>
    </row>
    <row r="666" spans="1:5" x14ac:dyDescent="0.25">
      <c r="A666" s="18">
        <v>2005</v>
      </c>
      <c r="B666" s="18" t="s">
        <v>36</v>
      </c>
      <c r="C666" s="18">
        <v>0</v>
      </c>
      <c r="D666" s="18">
        <v>0</v>
      </c>
      <c r="E666" s="18">
        <v>0</v>
      </c>
    </row>
    <row r="667" spans="1:5" x14ac:dyDescent="0.25">
      <c r="A667" s="18">
        <v>2006</v>
      </c>
      <c r="B667" s="18" t="s">
        <v>36</v>
      </c>
      <c r="C667" s="18">
        <v>0</v>
      </c>
      <c r="D667" s="18">
        <v>0</v>
      </c>
      <c r="E667" s="18">
        <v>0</v>
      </c>
    </row>
    <row r="668" spans="1:5" x14ac:dyDescent="0.25">
      <c r="A668" s="18">
        <v>2007</v>
      </c>
      <c r="B668" s="18" t="s">
        <v>36</v>
      </c>
      <c r="C668" s="18">
        <v>0</v>
      </c>
      <c r="D668" s="18">
        <v>0</v>
      </c>
      <c r="E668" s="18">
        <v>0</v>
      </c>
    </row>
    <row r="669" spans="1:5" x14ac:dyDescent="0.25">
      <c r="A669" s="18">
        <v>2008</v>
      </c>
      <c r="B669" s="18" t="s">
        <v>36</v>
      </c>
      <c r="C669" s="18">
        <v>0</v>
      </c>
      <c r="D669" s="18">
        <v>0</v>
      </c>
      <c r="E669" s="18">
        <v>0</v>
      </c>
    </row>
    <row r="670" spans="1:5" x14ac:dyDescent="0.25">
      <c r="A670" s="18">
        <v>1950</v>
      </c>
      <c r="B670" s="18" t="s">
        <v>107</v>
      </c>
      <c r="C670" s="18">
        <v>0</v>
      </c>
      <c r="D670" s="18">
        <v>0</v>
      </c>
      <c r="E670" s="18">
        <v>0</v>
      </c>
    </row>
    <row r="671" spans="1:5" x14ac:dyDescent="0.25">
      <c r="A671" s="18">
        <v>1951</v>
      </c>
      <c r="B671" s="18" t="s">
        <v>107</v>
      </c>
      <c r="C671" s="18">
        <v>0</v>
      </c>
      <c r="D671" s="18">
        <v>0</v>
      </c>
      <c r="E671" s="18">
        <v>0</v>
      </c>
    </row>
    <row r="672" spans="1:5" x14ac:dyDescent="0.25">
      <c r="A672" s="18">
        <v>1952</v>
      </c>
      <c r="B672" s="18" t="s">
        <v>107</v>
      </c>
      <c r="C672" s="18">
        <v>0</v>
      </c>
      <c r="D672" s="18">
        <v>0</v>
      </c>
      <c r="E672" s="18">
        <v>0</v>
      </c>
    </row>
    <row r="673" spans="1:5" x14ac:dyDescent="0.25">
      <c r="A673" s="18">
        <v>1953</v>
      </c>
      <c r="B673" s="18" t="s">
        <v>107</v>
      </c>
      <c r="C673" s="18">
        <v>0</v>
      </c>
      <c r="D673" s="18">
        <v>0</v>
      </c>
      <c r="E673" s="18">
        <v>0</v>
      </c>
    </row>
    <row r="674" spans="1:5" x14ac:dyDescent="0.25">
      <c r="A674" s="18">
        <v>1954</v>
      </c>
      <c r="B674" s="18" t="s">
        <v>107</v>
      </c>
      <c r="C674" s="18">
        <v>0</v>
      </c>
      <c r="D674" s="18">
        <v>0</v>
      </c>
      <c r="E674" s="18">
        <v>0</v>
      </c>
    </row>
    <row r="675" spans="1:5" x14ac:dyDescent="0.25">
      <c r="A675" s="18">
        <v>1955</v>
      </c>
      <c r="B675" s="18" t="s">
        <v>107</v>
      </c>
      <c r="C675" s="18">
        <v>0</v>
      </c>
      <c r="D675" s="18">
        <v>0</v>
      </c>
      <c r="E675" s="18">
        <v>0</v>
      </c>
    </row>
    <row r="676" spans="1:5" x14ac:dyDescent="0.25">
      <c r="A676" s="18">
        <v>1956</v>
      </c>
      <c r="B676" s="18" t="s">
        <v>107</v>
      </c>
      <c r="C676" s="18">
        <v>0</v>
      </c>
      <c r="D676" s="18">
        <v>0</v>
      </c>
      <c r="E676" s="18">
        <v>0</v>
      </c>
    </row>
    <row r="677" spans="1:5" x14ac:dyDescent="0.25">
      <c r="A677" s="18">
        <v>1957</v>
      </c>
      <c r="B677" s="18" t="s">
        <v>107</v>
      </c>
      <c r="C677" s="18">
        <v>0</v>
      </c>
      <c r="D677" s="18">
        <v>0</v>
      </c>
      <c r="E677" s="18">
        <v>0</v>
      </c>
    </row>
    <row r="678" spans="1:5" x14ac:dyDescent="0.25">
      <c r="A678" s="18">
        <v>1958</v>
      </c>
      <c r="B678" s="18" t="s">
        <v>107</v>
      </c>
      <c r="C678" s="18">
        <v>0</v>
      </c>
      <c r="D678" s="18">
        <v>0</v>
      </c>
      <c r="E678" s="18">
        <v>0</v>
      </c>
    </row>
    <row r="679" spans="1:5" x14ac:dyDescent="0.25">
      <c r="A679" s="18">
        <v>1959</v>
      </c>
      <c r="B679" s="18" t="s">
        <v>107</v>
      </c>
      <c r="C679" s="18">
        <v>0</v>
      </c>
      <c r="D679" s="18">
        <v>0</v>
      </c>
      <c r="E679" s="18">
        <v>0</v>
      </c>
    </row>
    <row r="680" spans="1:5" x14ac:dyDescent="0.25">
      <c r="A680" s="18">
        <v>1960</v>
      </c>
      <c r="B680" s="18" t="s">
        <v>107</v>
      </c>
      <c r="C680" s="18">
        <v>0</v>
      </c>
      <c r="D680" s="18">
        <v>0</v>
      </c>
      <c r="E680" s="18">
        <v>0</v>
      </c>
    </row>
    <row r="681" spans="1:5" x14ac:dyDescent="0.25">
      <c r="A681" s="18">
        <v>1961</v>
      </c>
      <c r="B681" s="18" t="s">
        <v>107</v>
      </c>
      <c r="C681" s="18">
        <v>0</v>
      </c>
      <c r="D681" s="18">
        <v>0</v>
      </c>
      <c r="E681" s="18">
        <v>0</v>
      </c>
    </row>
    <row r="682" spans="1:5" x14ac:dyDescent="0.25">
      <c r="A682" s="18">
        <v>1962</v>
      </c>
      <c r="B682" s="18" t="s">
        <v>107</v>
      </c>
      <c r="C682" s="18">
        <v>0</v>
      </c>
      <c r="D682" s="18">
        <v>0</v>
      </c>
      <c r="E682" s="18">
        <v>0</v>
      </c>
    </row>
    <row r="683" spans="1:5" x14ac:dyDescent="0.25">
      <c r="A683" s="18">
        <v>1963</v>
      </c>
      <c r="B683" s="18" t="s">
        <v>107</v>
      </c>
      <c r="C683" s="18">
        <v>0</v>
      </c>
      <c r="D683" s="18">
        <v>0</v>
      </c>
      <c r="E683" s="18">
        <v>0</v>
      </c>
    </row>
    <row r="684" spans="1:5" x14ac:dyDescent="0.25">
      <c r="A684" s="18">
        <v>1964</v>
      </c>
      <c r="B684" s="18" t="s">
        <v>107</v>
      </c>
      <c r="C684" s="18">
        <v>0</v>
      </c>
      <c r="D684" s="18">
        <v>0</v>
      </c>
      <c r="E684" s="18">
        <v>0</v>
      </c>
    </row>
    <row r="685" spans="1:5" x14ac:dyDescent="0.25">
      <c r="A685" s="18">
        <v>1965</v>
      </c>
      <c r="B685" s="18" t="s">
        <v>107</v>
      </c>
      <c r="C685" s="18">
        <v>0</v>
      </c>
      <c r="D685" s="18">
        <v>0</v>
      </c>
      <c r="E685" s="18">
        <v>0</v>
      </c>
    </row>
    <row r="686" spans="1:5" x14ac:dyDescent="0.25">
      <c r="A686" s="18">
        <v>1966</v>
      </c>
      <c r="B686" s="18" t="s">
        <v>107</v>
      </c>
      <c r="C686" s="18">
        <v>0</v>
      </c>
      <c r="D686" s="18">
        <v>0</v>
      </c>
      <c r="E686" s="18">
        <v>0</v>
      </c>
    </row>
    <row r="687" spans="1:5" x14ac:dyDescent="0.25">
      <c r="A687" s="18">
        <v>1967</v>
      </c>
      <c r="B687" s="18" t="s">
        <v>107</v>
      </c>
      <c r="C687" s="18">
        <v>0</v>
      </c>
      <c r="D687" s="18">
        <v>0</v>
      </c>
      <c r="E687" s="18">
        <v>0</v>
      </c>
    </row>
    <row r="688" spans="1:5" x14ac:dyDescent="0.25">
      <c r="A688" s="18">
        <v>1968</v>
      </c>
      <c r="B688" s="18" t="s">
        <v>107</v>
      </c>
      <c r="C688" s="18">
        <v>0</v>
      </c>
      <c r="D688" s="18">
        <v>0</v>
      </c>
      <c r="E688" s="18">
        <v>0</v>
      </c>
    </row>
    <row r="689" spans="1:5" x14ac:dyDescent="0.25">
      <c r="A689" s="18">
        <v>1969</v>
      </c>
      <c r="B689" s="18" t="s">
        <v>107</v>
      </c>
      <c r="C689" s="18">
        <v>0</v>
      </c>
      <c r="D689" s="18">
        <v>0</v>
      </c>
      <c r="E689" s="18">
        <v>0</v>
      </c>
    </row>
    <row r="690" spans="1:5" x14ac:dyDescent="0.25">
      <c r="A690" s="18">
        <v>1970</v>
      </c>
      <c r="B690" s="18" t="s">
        <v>107</v>
      </c>
      <c r="C690" s="18">
        <v>0</v>
      </c>
      <c r="D690" s="18">
        <v>0</v>
      </c>
      <c r="E690" s="18">
        <v>0</v>
      </c>
    </row>
    <row r="691" spans="1:5" x14ac:dyDescent="0.25">
      <c r="A691" s="18">
        <v>1971</v>
      </c>
      <c r="B691" s="18" t="s">
        <v>107</v>
      </c>
      <c r="C691" s="18">
        <v>0</v>
      </c>
      <c r="D691" s="18">
        <v>0</v>
      </c>
      <c r="E691" s="18">
        <v>0</v>
      </c>
    </row>
    <row r="692" spans="1:5" x14ac:dyDescent="0.25">
      <c r="A692" s="18">
        <v>1972</v>
      </c>
      <c r="B692" s="18" t="s">
        <v>107</v>
      </c>
      <c r="C692" s="18">
        <v>0</v>
      </c>
      <c r="D692" s="18">
        <v>0</v>
      </c>
      <c r="E692" s="18">
        <v>0</v>
      </c>
    </row>
    <row r="693" spans="1:5" x14ac:dyDescent="0.25">
      <c r="A693" s="18">
        <v>1973</v>
      </c>
      <c r="B693" s="18" t="s">
        <v>107</v>
      </c>
      <c r="C693" s="18">
        <v>0</v>
      </c>
      <c r="D693" s="18">
        <v>0</v>
      </c>
      <c r="E693" s="18">
        <v>0</v>
      </c>
    </row>
    <row r="694" spans="1:5" x14ac:dyDescent="0.25">
      <c r="A694" s="18">
        <v>1974</v>
      </c>
      <c r="B694" s="18" t="s">
        <v>107</v>
      </c>
      <c r="C694" s="18">
        <v>0</v>
      </c>
      <c r="D694" s="18">
        <v>0</v>
      </c>
      <c r="E694" s="18">
        <v>0</v>
      </c>
    </row>
    <row r="695" spans="1:5" x14ac:dyDescent="0.25">
      <c r="A695" s="18">
        <v>1975</v>
      </c>
      <c r="B695" s="18" t="s">
        <v>107</v>
      </c>
      <c r="C695" s="18">
        <v>1530</v>
      </c>
      <c r="D695" s="18">
        <v>1490</v>
      </c>
      <c r="E695" s="18">
        <v>3024</v>
      </c>
    </row>
    <row r="696" spans="1:5" x14ac:dyDescent="0.25">
      <c r="A696" s="18">
        <v>1976</v>
      </c>
      <c r="B696" s="18" t="s">
        <v>107</v>
      </c>
      <c r="C696" s="18">
        <v>0</v>
      </c>
      <c r="D696" s="18">
        <v>0</v>
      </c>
      <c r="E696" s="18">
        <v>0</v>
      </c>
    </row>
    <row r="697" spans="1:5" x14ac:dyDescent="0.25">
      <c r="A697" s="18">
        <v>1977</v>
      </c>
      <c r="B697" s="18" t="s">
        <v>107</v>
      </c>
      <c r="C697" s="18">
        <v>0</v>
      </c>
      <c r="D697" s="18">
        <v>0</v>
      </c>
      <c r="E697" s="18">
        <v>0</v>
      </c>
    </row>
    <row r="698" spans="1:5" x14ac:dyDescent="0.25">
      <c r="A698" s="18">
        <v>1978</v>
      </c>
      <c r="B698" s="18" t="s">
        <v>107</v>
      </c>
      <c r="C698" s="18">
        <v>0</v>
      </c>
      <c r="D698" s="18">
        <v>0</v>
      </c>
      <c r="E698" s="18">
        <v>0</v>
      </c>
    </row>
    <row r="699" spans="1:5" x14ac:dyDescent="0.25">
      <c r="A699" s="18">
        <v>1979</v>
      </c>
      <c r="B699" s="18" t="s">
        <v>107</v>
      </c>
      <c r="C699" s="18">
        <v>0</v>
      </c>
      <c r="D699" s="18">
        <v>0</v>
      </c>
      <c r="E699" s="18">
        <v>0</v>
      </c>
    </row>
    <row r="700" spans="1:5" x14ac:dyDescent="0.25">
      <c r="A700" s="18">
        <v>1980</v>
      </c>
      <c r="B700" s="18" t="s">
        <v>107</v>
      </c>
      <c r="C700" s="18">
        <v>1376</v>
      </c>
      <c r="D700" s="18">
        <v>1498</v>
      </c>
      <c r="E700" s="18">
        <v>2874</v>
      </c>
    </row>
    <row r="701" spans="1:5" x14ac:dyDescent="0.25">
      <c r="A701" s="18">
        <v>1981</v>
      </c>
      <c r="B701" s="18" t="s">
        <v>107</v>
      </c>
      <c r="C701" s="18">
        <v>0</v>
      </c>
      <c r="D701" s="18">
        <v>0</v>
      </c>
      <c r="E701" s="18">
        <v>0</v>
      </c>
    </row>
    <row r="702" spans="1:5" x14ac:dyDescent="0.25">
      <c r="A702" s="18">
        <v>1982</v>
      </c>
      <c r="B702" s="18" t="s">
        <v>107</v>
      </c>
      <c r="C702" s="18">
        <v>0</v>
      </c>
      <c r="D702" s="18">
        <v>0</v>
      </c>
      <c r="E702" s="18">
        <v>0</v>
      </c>
    </row>
    <row r="703" spans="1:5" x14ac:dyDescent="0.25">
      <c r="A703" s="18">
        <v>1983</v>
      </c>
      <c r="B703" s="18" t="s">
        <v>107</v>
      </c>
      <c r="C703" s="18">
        <v>0</v>
      </c>
      <c r="D703" s="18">
        <v>0</v>
      </c>
      <c r="E703" s="18">
        <v>0</v>
      </c>
    </row>
    <row r="704" spans="1:5" x14ac:dyDescent="0.25">
      <c r="A704" s="18">
        <v>1984</v>
      </c>
      <c r="B704" s="18" t="s">
        <v>107</v>
      </c>
      <c r="C704" s="18">
        <v>0</v>
      </c>
      <c r="D704" s="18">
        <v>0</v>
      </c>
      <c r="E704" s="18">
        <v>0</v>
      </c>
    </row>
    <row r="705" spans="1:5" x14ac:dyDescent="0.25">
      <c r="A705" s="18">
        <v>1985</v>
      </c>
      <c r="B705" s="18" t="s">
        <v>107</v>
      </c>
      <c r="C705" s="18">
        <v>1286</v>
      </c>
      <c r="D705" s="18">
        <v>1381</v>
      </c>
      <c r="E705" s="18">
        <v>2668</v>
      </c>
    </row>
    <row r="706" spans="1:5" x14ac:dyDescent="0.25">
      <c r="A706" s="18">
        <v>1986</v>
      </c>
      <c r="B706" s="18" t="s">
        <v>107</v>
      </c>
      <c r="C706" s="18">
        <v>0</v>
      </c>
      <c r="D706" s="18">
        <v>0</v>
      </c>
      <c r="E706" s="18">
        <v>0</v>
      </c>
    </row>
    <row r="707" spans="1:5" x14ac:dyDescent="0.25">
      <c r="A707" s="18">
        <v>1987</v>
      </c>
      <c r="B707" s="18" t="s">
        <v>107</v>
      </c>
      <c r="C707" s="18">
        <v>0</v>
      </c>
      <c r="D707" s="18">
        <v>0</v>
      </c>
      <c r="E707" s="18">
        <v>0</v>
      </c>
    </row>
    <row r="708" spans="1:5" x14ac:dyDescent="0.25">
      <c r="A708" s="18">
        <v>1988</v>
      </c>
      <c r="B708" s="18" t="s">
        <v>107</v>
      </c>
      <c r="C708" s="18">
        <v>0</v>
      </c>
      <c r="D708" s="18">
        <v>0</v>
      </c>
      <c r="E708" s="18">
        <v>0</v>
      </c>
    </row>
    <row r="709" spans="1:5" x14ac:dyDescent="0.25">
      <c r="A709" s="18">
        <v>1989</v>
      </c>
      <c r="B709" s="18" t="s">
        <v>107</v>
      </c>
      <c r="C709" s="18">
        <v>0</v>
      </c>
      <c r="D709" s="18">
        <v>0</v>
      </c>
      <c r="E709" s="18">
        <v>0</v>
      </c>
    </row>
    <row r="710" spans="1:5" x14ac:dyDescent="0.25">
      <c r="A710" s="18">
        <v>1990</v>
      </c>
      <c r="B710" s="18" t="s">
        <v>107</v>
      </c>
      <c r="C710" s="18">
        <v>1440</v>
      </c>
      <c r="D710" s="18">
        <v>1551</v>
      </c>
      <c r="E710" s="18">
        <v>2993</v>
      </c>
    </row>
    <row r="711" spans="1:5" x14ac:dyDescent="0.25">
      <c r="A711" s="18">
        <v>1991</v>
      </c>
      <c r="B711" s="18" t="s">
        <v>107</v>
      </c>
      <c r="C711" s="18">
        <v>0</v>
      </c>
      <c r="D711" s="18">
        <v>0</v>
      </c>
      <c r="E711" s="18">
        <v>0</v>
      </c>
    </row>
    <row r="712" spans="1:5" x14ac:dyDescent="0.25">
      <c r="A712" s="18">
        <v>1992</v>
      </c>
      <c r="B712" s="18" t="s">
        <v>107</v>
      </c>
      <c r="C712" s="18">
        <v>0</v>
      </c>
      <c r="D712" s="18">
        <v>0</v>
      </c>
      <c r="E712" s="18">
        <v>0</v>
      </c>
    </row>
    <row r="713" spans="1:5" x14ac:dyDescent="0.25">
      <c r="A713" s="18">
        <v>1993</v>
      </c>
      <c r="B713" s="18" t="s">
        <v>107</v>
      </c>
      <c r="C713" s="18">
        <v>0</v>
      </c>
      <c r="D713" s="18">
        <v>0</v>
      </c>
      <c r="E713" s="18">
        <v>0</v>
      </c>
    </row>
    <row r="714" spans="1:5" x14ac:dyDescent="0.25">
      <c r="A714" s="18">
        <v>1994</v>
      </c>
      <c r="B714" s="18" t="s">
        <v>107</v>
      </c>
      <c r="C714" s="18">
        <v>0</v>
      </c>
      <c r="D714" s="18">
        <v>0</v>
      </c>
      <c r="E714" s="18">
        <v>0</v>
      </c>
    </row>
    <row r="715" spans="1:5" x14ac:dyDescent="0.25">
      <c r="A715" s="18">
        <v>1995</v>
      </c>
      <c r="B715" s="18" t="s">
        <v>107</v>
      </c>
      <c r="C715" s="18">
        <v>0</v>
      </c>
      <c r="D715" s="18">
        <v>0</v>
      </c>
      <c r="E715" s="18">
        <v>0</v>
      </c>
    </row>
    <row r="716" spans="1:5" x14ac:dyDescent="0.25">
      <c r="A716" s="18">
        <v>1996</v>
      </c>
      <c r="B716" s="18" t="s">
        <v>107</v>
      </c>
      <c r="C716" s="18">
        <v>0</v>
      </c>
      <c r="D716" s="18">
        <v>0</v>
      </c>
      <c r="E716" s="18">
        <v>0</v>
      </c>
    </row>
    <row r="717" spans="1:5" x14ac:dyDescent="0.25">
      <c r="A717" s="18">
        <v>1997</v>
      </c>
      <c r="B717" s="18" t="s">
        <v>107</v>
      </c>
      <c r="C717" s="18">
        <v>0</v>
      </c>
      <c r="D717" s="18">
        <v>0</v>
      </c>
      <c r="E717" s="18">
        <v>0</v>
      </c>
    </row>
    <row r="718" spans="1:5" x14ac:dyDescent="0.25">
      <c r="A718" s="18">
        <v>1998</v>
      </c>
      <c r="B718" s="18" t="s">
        <v>107</v>
      </c>
      <c r="C718" s="18">
        <v>0</v>
      </c>
      <c r="D718" s="18">
        <v>0</v>
      </c>
      <c r="E718" s="18">
        <v>0</v>
      </c>
    </row>
    <row r="719" spans="1:5" x14ac:dyDescent="0.25">
      <c r="A719" s="18">
        <v>1999</v>
      </c>
      <c r="B719" s="18" t="s">
        <v>107</v>
      </c>
      <c r="C719" s="18">
        <v>0</v>
      </c>
      <c r="D719" s="18">
        <v>0</v>
      </c>
      <c r="E719" s="18">
        <v>0</v>
      </c>
    </row>
    <row r="720" spans="1:5" x14ac:dyDescent="0.25">
      <c r="A720" s="18">
        <v>2000</v>
      </c>
      <c r="B720" s="18" t="s">
        <v>107</v>
      </c>
      <c r="C720" s="18">
        <v>1434</v>
      </c>
      <c r="D720" s="18">
        <v>1500</v>
      </c>
      <c r="E720" s="18">
        <v>2934</v>
      </c>
    </row>
    <row r="721" spans="1:5" x14ac:dyDescent="0.25">
      <c r="A721" s="18">
        <v>2001</v>
      </c>
      <c r="B721" s="18" t="s">
        <v>107</v>
      </c>
      <c r="C721" s="18">
        <v>0</v>
      </c>
      <c r="D721" s="18">
        <v>0</v>
      </c>
      <c r="E721" s="18">
        <v>0</v>
      </c>
    </row>
    <row r="722" spans="1:5" x14ac:dyDescent="0.25">
      <c r="A722" s="18">
        <v>2002</v>
      </c>
      <c r="B722" s="18" t="s">
        <v>107</v>
      </c>
      <c r="C722" s="18">
        <v>0</v>
      </c>
      <c r="D722" s="18">
        <v>0</v>
      </c>
      <c r="E722" s="18">
        <v>0</v>
      </c>
    </row>
    <row r="723" spans="1:5" x14ac:dyDescent="0.25">
      <c r="A723" s="18">
        <v>2003</v>
      </c>
      <c r="B723" s="18" t="s">
        <v>107</v>
      </c>
      <c r="C723" s="18">
        <v>0</v>
      </c>
      <c r="D723" s="18">
        <v>0</v>
      </c>
      <c r="E723" s="18">
        <v>0</v>
      </c>
    </row>
    <row r="724" spans="1:5" x14ac:dyDescent="0.25">
      <c r="A724" s="18">
        <v>2004</v>
      </c>
      <c r="B724" s="18" t="s">
        <v>107</v>
      </c>
      <c r="C724" s="18">
        <v>0</v>
      </c>
      <c r="D724" s="18">
        <v>0</v>
      </c>
      <c r="E724" s="18">
        <v>0</v>
      </c>
    </row>
    <row r="725" spans="1:5" x14ac:dyDescent="0.25">
      <c r="A725" s="18">
        <v>2005</v>
      </c>
      <c r="B725" s="18" t="s">
        <v>107</v>
      </c>
      <c r="C725" s="18">
        <v>0</v>
      </c>
      <c r="D725" s="18">
        <v>0</v>
      </c>
      <c r="E725" s="18">
        <v>0</v>
      </c>
    </row>
    <row r="726" spans="1:5" x14ac:dyDescent="0.25">
      <c r="A726" s="18">
        <v>2006</v>
      </c>
      <c r="B726" s="18" t="s">
        <v>107</v>
      </c>
      <c r="C726" s="18">
        <v>0</v>
      </c>
      <c r="D726" s="18">
        <v>0</v>
      </c>
      <c r="E726" s="18">
        <v>0</v>
      </c>
    </row>
    <row r="727" spans="1:5" x14ac:dyDescent="0.25">
      <c r="A727" s="18">
        <v>2007</v>
      </c>
      <c r="B727" s="18" t="s">
        <v>107</v>
      </c>
      <c r="C727" s="18">
        <v>0</v>
      </c>
      <c r="D727" s="18">
        <v>0</v>
      </c>
      <c r="E727" s="18">
        <v>0</v>
      </c>
    </row>
    <row r="728" spans="1:5" x14ac:dyDescent="0.25">
      <c r="A728" s="18">
        <v>2008</v>
      </c>
      <c r="B728" s="18" t="s">
        <v>107</v>
      </c>
      <c r="C728" s="18">
        <v>0</v>
      </c>
      <c r="D728" s="18">
        <v>0</v>
      </c>
      <c r="E728" s="18">
        <v>0</v>
      </c>
    </row>
    <row r="729" spans="1:5" x14ac:dyDescent="0.25">
      <c r="A729" s="18">
        <v>1950</v>
      </c>
      <c r="B729" s="18" t="s">
        <v>44</v>
      </c>
      <c r="C729" s="18">
        <v>0</v>
      </c>
      <c r="D729" s="18">
        <v>0</v>
      </c>
      <c r="E729" s="18">
        <v>0</v>
      </c>
    </row>
    <row r="730" spans="1:5" x14ac:dyDescent="0.25">
      <c r="A730" s="18">
        <v>1951</v>
      </c>
      <c r="B730" s="18" t="s">
        <v>44</v>
      </c>
      <c r="C730" s="18">
        <v>0</v>
      </c>
      <c r="D730" s="18">
        <v>0</v>
      </c>
      <c r="E730" s="18">
        <v>0</v>
      </c>
    </row>
    <row r="731" spans="1:5" x14ac:dyDescent="0.25">
      <c r="A731" s="18">
        <v>1952</v>
      </c>
      <c r="B731" s="18" t="s">
        <v>44</v>
      </c>
      <c r="C731" s="18">
        <v>0</v>
      </c>
      <c r="D731" s="18">
        <v>0</v>
      </c>
      <c r="E731" s="18">
        <v>0</v>
      </c>
    </row>
    <row r="732" spans="1:5" x14ac:dyDescent="0.25">
      <c r="A732" s="18">
        <v>1953</v>
      </c>
      <c r="B732" s="18" t="s">
        <v>44</v>
      </c>
      <c r="C732" s="18">
        <v>0</v>
      </c>
      <c r="D732" s="18">
        <v>0</v>
      </c>
      <c r="E732" s="18">
        <v>0</v>
      </c>
    </row>
    <row r="733" spans="1:5" x14ac:dyDescent="0.25">
      <c r="A733" s="18">
        <v>1954</v>
      </c>
      <c r="B733" s="18" t="s">
        <v>44</v>
      </c>
      <c r="C733" s="18">
        <v>0</v>
      </c>
      <c r="D733" s="18">
        <v>0</v>
      </c>
      <c r="E733" s="18">
        <v>0</v>
      </c>
    </row>
    <row r="734" spans="1:5" x14ac:dyDescent="0.25">
      <c r="A734" s="18">
        <v>1955</v>
      </c>
      <c r="B734" s="18" t="s">
        <v>44</v>
      </c>
      <c r="C734" s="18">
        <v>0</v>
      </c>
      <c r="D734" s="18">
        <v>0</v>
      </c>
      <c r="E734" s="18">
        <v>0</v>
      </c>
    </row>
    <row r="735" spans="1:5" x14ac:dyDescent="0.25">
      <c r="A735" s="18">
        <v>1956</v>
      </c>
      <c r="B735" s="18" t="s">
        <v>44</v>
      </c>
      <c r="C735" s="18">
        <v>0</v>
      </c>
      <c r="D735" s="18">
        <v>0</v>
      </c>
      <c r="E735" s="18">
        <v>0</v>
      </c>
    </row>
    <row r="736" spans="1:5" x14ac:dyDescent="0.25">
      <c r="A736" s="18">
        <v>1957</v>
      </c>
      <c r="B736" s="18" t="s">
        <v>44</v>
      </c>
      <c r="C736" s="18">
        <v>0</v>
      </c>
      <c r="D736" s="18">
        <v>0</v>
      </c>
      <c r="E736" s="18">
        <v>0</v>
      </c>
    </row>
    <row r="737" spans="1:5" x14ac:dyDescent="0.25">
      <c r="A737" s="18">
        <v>1958</v>
      </c>
      <c r="B737" s="18" t="s">
        <v>44</v>
      </c>
      <c r="C737" s="18">
        <v>0</v>
      </c>
      <c r="D737" s="18">
        <v>0</v>
      </c>
      <c r="E737" s="18">
        <v>0</v>
      </c>
    </row>
    <row r="738" spans="1:5" x14ac:dyDescent="0.25">
      <c r="A738" s="18">
        <v>1959</v>
      </c>
      <c r="B738" s="18" t="s">
        <v>44</v>
      </c>
      <c r="C738" s="18">
        <v>0</v>
      </c>
      <c r="D738" s="18">
        <v>0</v>
      </c>
      <c r="E738" s="18">
        <v>0</v>
      </c>
    </row>
    <row r="739" spans="1:5" x14ac:dyDescent="0.25">
      <c r="A739" s="18">
        <v>1960</v>
      </c>
      <c r="B739" s="18" t="s">
        <v>44</v>
      </c>
      <c r="C739" s="18">
        <v>0</v>
      </c>
      <c r="D739" s="18">
        <v>0</v>
      </c>
      <c r="E739" s="18">
        <v>0</v>
      </c>
    </row>
    <row r="740" spans="1:5" x14ac:dyDescent="0.25">
      <c r="A740" s="18">
        <v>1961</v>
      </c>
      <c r="B740" s="18" t="s">
        <v>44</v>
      </c>
      <c r="C740" s="18">
        <v>0</v>
      </c>
      <c r="D740" s="18">
        <v>0</v>
      </c>
      <c r="E740" s="18">
        <v>0</v>
      </c>
    </row>
    <row r="741" spans="1:5" x14ac:dyDescent="0.25">
      <c r="A741" s="18">
        <v>1962</v>
      </c>
      <c r="B741" s="18" t="s">
        <v>44</v>
      </c>
      <c r="C741" s="18">
        <v>0</v>
      </c>
      <c r="D741" s="18">
        <v>0</v>
      </c>
      <c r="E741" s="18">
        <v>0</v>
      </c>
    </row>
    <row r="742" spans="1:5" x14ac:dyDescent="0.25">
      <c r="A742" s="18">
        <v>1963</v>
      </c>
      <c r="B742" s="18" t="s">
        <v>44</v>
      </c>
      <c r="C742" s="18">
        <v>0</v>
      </c>
      <c r="D742" s="18">
        <v>0</v>
      </c>
      <c r="E742" s="18">
        <v>0</v>
      </c>
    </row>
    <row r="743" spans="1:5" x14ac:dyDescent="0.25">
      <c r="A743" s="18">
        <v>1964</v>
      </c>
      <c r="B743" s="18" t="s">
        <v>44</v>
      </c>
      <c r="C743" s="18">
        <v>0</v>
      </c>
      <c r="D743" s="18">
        <v>0</v>
      </c>
      <c r="E743" s="18">
        <v>0</v>
      </c>
    </row>
    <row r="744" spans="1:5" x14ac:dyDescent="0.25">
      <c r="A744" s="18">
        <v>1965</v>
      </c>
      <c r="B744" s="18" t="s">
        <v>44</v>
      </c>
      <c r="C744" s="18">
        <v>0</v>
      </c>
      <c r="D744" s="18">
        <v>0</v>
      </c>
      <c r="E744" s="18">
        <v>0</v>
      </c>
    </row>
    <row r="745" spans="1:5" x14ac:dyDescent="0.25">
      <c r="A745" s="18">
        <v>1966</v>
      </c>
      <c r="B745" s="18" t="s">
        <v>44</v>
      </c>
      <c r="C745" s="18">
        <v>0</v>
      </c>
      <c r="D745" s="18">
        <v>0</v>
      </c>
      <c r="E745" s="18">
        <v>0</v>
      </c>
    </row>
    <row r="746" spans="1:5" x14ac:dyDescent="0.25">
      <c r="A746" s="18">
        <v>1967</v>
      </c>
      <c r="B746" s="18" t="s">
        <v>44</v>
      </c>
      <c r="C746" s="18">
        <v>0</v>
      </c>
      <c r="D746" s="18">
        <v>0</v>
      </c>
      <c r="E746" s="18">
        <v>0</v>
      </c>
    </row>
    <row r="747" spans="1:5" x14ac:dyDescent="0.25">
      <c r="A747" s="18">
        <v>1968</v>
      </c>
      <c r="B747" s="18" t="s">
        <v>44</v>
      </c>
      <c r="C747" s="18">
        <v>0</v>
      </c>
      <c r="D747" s="18">
        <v>0</v>
      </c>
      <c r="E747" s="18">
        <v>0</v>
      </c>
    </row>
    <row r="748" spans="1:5" x14ac:dyDescent="0.25">
      <c r="A748" s="18">
        <v>1969</v>
      </c>
      <c r="B748" s="18" t="s">
        <v>44</v>
      </c>
      <c r="C748" s="18">
        <v>0</v>
      </c>
      <c r="D748" s="18">
        <v>0</v>
      </c>
      <c r="E748" s="18">
        <v>0</v>
      </c>
    </row>
    <row r="749" spans="1:5" x14ac:dyDescent="0.25">
      <c r="A749" s="18">
        <v>1970</v>
      </c>
      <c r="B749" s="18" t="s">
        <v>44</v>
      </c>
      <c r="C749" s="18">
        <v>0</v>
      </c>
      <c r="D749" s="18">
        <v>0</v>
      </c>
      <c r="E749" s="18">
        <v>0</v>
      </c>
    </row>
    <row r="750" spans="1:5" x14ac:dyDescent="0.25">
      <c r="A750" s="18">
        <v>1971</v>
      </c>
      <c r="B750" s="18" t="s">
        <v>44</v>
      </c>
      <c r="C750" s="18">
        <v>0</v>
      </c>
      <c r="D750" s="18">
        <v>0</v>
      </c>
      <c r="E750" s="18">
        <v>0</v>
      </c>
    </row>
    <row r="751" spans="1:5" x14ac:dyDescent="0.25">
      <c r="A751" s="18">
        <v>1972</v>
      </c>
      <c r="B751" s="18" t="s">
        <v>44</v>
      </c>
      <c r="C751" s="18">
        <v>0</v>
      </c>
      <c r="D751" s="18">
        <v>0</v>
      </c>
      <c r="E751" s="18">
        <v>0</v>
      </c>
    </row>
    <row r="752" spans="1:5" x14ac:dyDescent="0.25">
      <c r="A752" s="18">
        <v>1973</v>
      </c>
      <c r="B752" s="18" t="s">
        <v>44</v>
      </c>
      <c r="C752" s="18">
        <v>0</v>
      </c>
      <c r="D752" s="18">
        <v>0</v>
      </c>
      <c r="E752" s="18">
        <v>0</v>
      </c>
    </row>
    <row r="753" spans="1:5" x14ac:dyDescent="0.25">
      <c r="A753" s="18">
        <v>1974</v>
      </c>
      <c r="B753" s="18" t="s">
        <v>44</v>
      </c>
      <c r="C753" s="18">
        <v>0</v>
      </c>
      <c r="D753" s="18">
        <v>0</v>
      </c>
      <c r="E753" s="18">
        <v>0</v>
      </c>
    </row>
    <row r="754" spans="1:5" x14ac:dyDescent="0.25">
      <c r="A754" s="18">
        <v>1975</v>
      </c>
      <c r="B754" s="18" t="s">
        <v>44</v>
      </c>
      <c r="C754" s="18">
        <v>3658</v>
      </c>
      <c r="D754" s="18">
        <v>3749</v>
      </c>
      <c r="E754" s="18">
        <v>7407</v>
      </c>
    </row>
    <row r="755" spans="1:5" x14ac:dyDescent="0.25">
      <c r="A755" s="18">
        <v>1976</v>
      </c>
      <c r="B755" s="18" t="s">
        <v>44</v>
      </c>
      <c r="C755" s="18">
        <v>0</v>
      </c>
      <c r="D755" s="18">
        <v>0</v>
      </c>
      <c r="E755" s="18">
        <v>0</v>
      </c>
    </row>
    <row r="756" spans="1:5" x14ac:dyDescent="0.25">
      <c r="A756" s="18">
        <v>1977</v>
      </c>
      <c r="B756" s="18" t="s">
        <v>44</v>
      </c>
      <c r="C756" s="18">
        <v>0</v>
      </c>
      <c r="D756" s="18">
        <v>0</v>
      </c>
      <c r="E756" s="18">
        <v>0</v>
      </c>
    </row>
    <row r="757" spans="1:5" x14ac:dyDescent="0.25">
      <c r="A757" s="18">
        <v>1978</v>
      </c>
      <c r="B757" s="18" t="s">
        <v>44</v>
      </c>
      <c r="C757" s="18">
        <v>0</v>
      </c>
      <c r="D757" s="18">
        <v>0</v>
      </c>
      <c r="E757" s="18">
        <v>0</v>
      </c>
    </row>
    <row r="758" spans="1:5" x14ac:dyDescent="0.25">
      <c r="A758" s="18">
        <v>1979</v>
      </c>
      <c r="B758" s="18" t="s">
        <v>44</v>
      </c>
      <c r="C758" s="18">
        <v>0</v>
      </c>
      <c r="D758" s="18">
        <v>0</v>
      </c>
      <c r="E758" s="18">
        <v>0</v>
      </c>
    </row>
    <row r="759" spans="1:5" x14ac:dyDescent="0.25">
      <c r="A759" s="18">
        <v>1980</v>
      </c>
      <c r="B759" s="18" t="s">
        <v>44</v>
      </c>
      <c r="C759" s="18">
        <v>2079</v>
      </c>
      <c r="D759" s="18">
        <v>2156</v>
      </c>
      <c r="E759" s="18">
        <v>4235</v>
      </c>
    </row>
    <row r="760" spans="1:5" x14ac:dyDescent="0.25">
      <c r="A760" s="18">
        <v>1981</v>
      </c>
      <c r="B760" s="18" t="s">
        <v>44</v>
      </c>
      <c r="C760" s="18">
        <v>0</v>
      </c>
      <c r="D760" s="18">
        <v>0</v>
      </c>
      <c r="E760" s="18">
        <v>0</v>
      </c>
    </row>
    <row r="761" spans="1:5" x14ac:dyDescent="0.25">
      <c r="A761" s="18">
        <v>1982</v>
      </c>
      <c r="B761" s="18" t="s">
        <v>44</v>
      </c>
      <c r="C761" s="18">
        <v>0</v>
      </c>
      <c r="D761" s="18">
        <v>0</v>
      </c>
      <c r="E761" s="18">
        <v>0</v>
      </c>
    </row>
    <row r="762" spans="1:5" x14ac:dyDescent="0.25">
      <c r="A762" s="18">
        <v>1983</v>
      </c>
      <c r="B762" s="18" t="s">
        <v>44</v>
      </c>
      <c r="C762" s="18">
        <v>0</v>
      </c>
      <c r="D762" s="18">
        <v>0</v>
      </c>
      <c r="E762" s="18">
        <v>0</v>
      </c>
    </row>
    <row r="763" spans="1:5" x14ac:dyDescent="0.25">
      <c r="A763" s="18">
        <v>1984</v>
      </c>
      <c r="B763" s="18" t="s">
        <v>44</v>
      </c>
      <c r="C763" s="18">
        <v>0</v>
      </c>
      <c r="D763" s="18">
        <v>0</v>
      </c>
      <c r="E763" s="18">
        <v>0</v>
      </c>
    </row>
    <row r="764" spans="1:5" x14ac:dyDescent="0.25">
      <c r="A764" s="18">
        <v>1985</v>
      </c>
      <c r="B764" s="18" t="s">
        <v>44</v>
      </c>
      <c r="C764" s="18">
        <v>1968</v>
      </c>
      <c r="D764" s="18">
        <v>2042</v>
      </c>
      <c r="E764" s="18">
        <v>4009</v>
      </c>
    </row>
    <row r="765" spans="1:5" x14ac:dyDescent="0.25">
      <c r="A765" s="18">
        <v>1986</v>
      </c>
      <c r="B765" s="18" t="s">
        <v>44</v>
      </c>
      <c r="C765" s="18">
        <v>0</v>
      </c>
      <c r="D765" s="18">
        <v>0</v>
      </c>
      <c r="E765" s="18">
        <v>0</v>
      </c>
    </row>
    <row r="766" spans="1:5" x14ac:dyDescent="0.25">
      <c r="A766" s="18">
        <v>1987</v>
      </c>
      <c r="B766" s="18" t="s">
        <v>44</v>
      </c>
      <c r="C766" s="18">
        <v>0</v>
      </c>
      <c r="D766" s="18">
        <v>0</v>
      </c>
      <c r="E766" s="18">
        <v>0</v>
      </c>
    </row>
    <row r="767" spans="1:5" x14ac:dyDescent="0.25">
      <c r="A767" s="18">
        <v>1988</v>
      </c>
      <c r="B767" s="18" t="s">
        <v>44</v>
      </c>
      <c r="C767" s="18">
        <v>0</v>
      </c>
      <c r="D767" s="18">
        <v>0</v>
      </c>
      <c r="E767" s="18">
        <v>0</v>
      </c>
    </row>
    <row r="768" spans="1:5" x14ac:dyDescent="0.25">
      <c r="A768" s="18">
        <v>1989</v>
      </c>
      <c r="B768" s="18" t="s">
        <v>44</v>
      </c>
      <c r="C768" s="18">
        <v>0</v>
      </c>
      <c r="D768" s="18">
        <v>0</v>
      </c>
      <c r="E768" s="18">
        <v>0</v>
      </c>
    </row>
    <row r="769" spans="1:5" x14ac:dyDescent="0.25">
      <c r="A769" s="18">
        <v>1990</v>
      </c>
      <c r="B769" s="18" t="s">
        <v>44</v>
      </c>
      <c r="C769" s="18">
        <v>2399</v>
      </c>
      <c r="D769" s="18">
        <v>2662</v>
      </c>
      <c r="E769" s="18">
        <v>5062</v>
      </c>
    </row>
    <row r="770" spans="1:5" x14ac:dyDescent="0.25">
      <c r="A770" s="18">
        <v>1991</v>
      </c>
      <c r="B770" s="18" t="s">
        <v>44</v>
      </c>
      <c r="C770" s="18">
        <v>0</v>
      </c>
      <c r="D770" s="18">
        <v>0</v>
      </c>
      <c r="E770" s="18">
        <v>0</v>
      </c>
    </row>
    <row r="771" spans="1:5" x14ac:dyDescent="0.25">
      <c r="A771" s="18">
        <v>1992</v>
      </c>
      <c r="B771" s="18" t="s">
        <v>44</v>
      </c>
      <c r="C771" s="18">
        <v>0</v>
      </c>
      <c r="D771" s="18">
        <v>0</v>
      </c>
      <c r="E771" s="18">
        <v>0</v>
      </c>
    </row>
    <row r="772" spans="1:5" x14ac:dyDescent="0.25">
      <c r="A772" s="18">
        <v>1993</v>
      </c>
      <c r="B772" s="18" t="s">
        <v>44</v>
      </c>
      <c r="C772" s="18">
        <v>0</v>
      </c>
      <c r="D772" s="18">
        <v>0</v>
      </c>
      <c r="E772" s="18">
        <v>0</v>
      </c>
    </row>
    <row r="773" spans="1:5" x14ac:dyDescent="0.25">
      <c r="A773" s="18">
        <v>1994</v>
      </c>
      <c r="B773" s="18" t="s">
        <v>44</v>
      </c>
      <c r="C773" s="18">
        <v>0</v>
      </c>
      <c r="D773" s="18">
        <v>0</v>
      </c>
      <c r="E773" s="18">
        <v>0</v>
      </c>
    </row>
    <row r="774" spans="1:5" x14ac:dyDescent="0.25">
      <c r="A774" s="18">
        <v>1995</v>
      </c>
      <c r="B774" s="18" t="s">
        <v>44</v>
      </c>
      <c r="C774" s="18">
        <v>0</v>
      </c>
      <c r="D774" s="18">
        <v>0</v>
      </c>
      <c r="E774" s="18">
        <v>0</v>
      </c>
    </row>
    <row r="775" spans="1:5" x14ac:dyDescent="0.25">
      <c r="A775" s="18">
        <v>1996</v>
      </c>
      <c r="B775" s="18" t="s">
        <v>44</v>
      </c>
      <c r="C775" s="18">
        <v>0</v>
      </c>
      <c r="D775" s="18">
        <v>0</v>
      </c>
      <c r="E775" s="18">
        <v>0</v>
      </c>
    </row>
    <row r="776" spans="1:5" x14ac:dyDescent="0.25">
      <c r="A776" s="18">
        <v>1997</v>
      </c>
      <c r="B776" s="18" t="s">
        <v>44</v>
      </c>
      <c r="C776" s="18">
        <v>0</v>
      </c>
      <c r="D776" s="18">
        <v>0</v>
      </c>
      <c r="E776" s="18">
        <v>0</v>
      </c>
    </row>
    <row r="777" spans="1:5" x14ac:dyDescent="0.25">
      <c r="A777" s="18">
        <v>1998</v>
      </c>
      <c r="B777" s="18" t="s">
        <v>44</v>
      </c>
      <c r="C777" s="18">
        <v>0</v>
      </c>
      <c r="D777" s="18">
        <v>0</v>
      </c>
      <c r="E777" s="18">
        <v>0</v>
      </c>
    </row>
    <row r="778" spans="1:5" x14ac:dyDescent="0.25">
      <c r="A778" s="18">
        <v>1999</v>
      </c>
      <c r="B778" s="18" t="s">
        <v>44</v>
      </c>
      <c r="C778" s="18">
        <v>0</v>
      </c>
      <c r="D778" s="18">
        <v>0</v>
      </c>
      <c r="E778" s="18">
        <v>0</v>
      </c>
    </row>
    <row r="779" spans="1:5" x14ac:dyDescent="0.25">
      <c r="A779" s="18">
        <v>2000</v>
      </c>
      <c r="B779" s="18" t="s">
        <v>44</v>
      </c>
      <c r="C779" s="18">
        <v>3136</v>
      </c>
      <c r="D779" s="18">
        <v>3295</v>
      </c>
      <c r="E779" s="18">
        <v>6431</v>
      </c>
    </row>
    <row r="780" spans="1:5" x14ac:dyDescent="0.25">
      <c r="A780" s="18">
        <v>2001</v>
      </c>
      <c r="B780" s="18" t="s">
        <v>44</v>
      </c>
      <c r="C780" s="18">
        <v>0</v>
      </c>
      <c r="D780" s="18">
        <v>0</v>
      </c>
      <c r="E780" s="18">
        <v>0</v>
      </c>
    </row>
    <row r="781" spans="1:5" x14ac:dyDescent="0.25">
      <c r="A781" s="18">
        <v>2002</v>
      </c>
      <c r="B781" s="18" t="s">
        <v>44</v>
      </c>
      <c r="C781" s="18">
        <v>0</v>
      </c>
      <c r="D781" s="18">
        <v>0</v>
      </c>
      <c r="E781" s="18">
        <v>0</v>
      </c>
    </row>
    <row r="782" spans="1:5" x14ac:dyDescent="0.25">
      <c r="A782" s="18">
        <v>2003</v>
      </c>
      <c r="B782" s="18" t="s">
        <v>44</v>
      </c>
      <c r="C782" s="18">
        <v>0</v>
      </c>
      <c r="D782" s="18">
        <v>0</v>
      </c>
      <c r="E782" s="18">
        <v>0</v>
      </c>
    </row>
    <row r="783" spans="1:5" x14ac:dyDescent="0.25">
      <c r="A783" s="18">
        <v>2004</v>
      </c>
      <c r="B783" s="18" t="s">
        <v>44</v>
      </c>
      <c r="C783" s="18">
        <v>0</v>
      </c>
      <c r="D783" s="18">
        <v>0</v>
      </c>
      <c r="E783" s="18">
        <v>0</v>
      </c>
    </row>
    <row r="784" spans="1:5" x14ac:dyDescent="0.25">
      <c r="A784" s="18">
        <v>2005</v>
      </c>
      <c r="B784" s="18" t="s">
        <v>44</v>
      </c>
      <c r="C784" s="18">
        <v>0</v>
      </c>
      <c r="D784" s="18">
        <v>0</v>
      </c>
      <c r="E784" s="18">
        <v>0</v>
      </c>
    </row>
    <row r="785" spans="1:5" x14ac:dyDescent="0.25">
      <c r="A785" s="18">
        <v>2006</v>
      </c>
      <c r="B785" s="18" t="s">
        <v>44</v>
      </c>
      <c r="C785" s="18">
        <v>0</v>
      </c>
      <c r="D785" s="18">
        <v>0</v>
      </c>
      <c r="E785" s="18">
        <v>0</v>
      </c>
    </row>
    <row r="786" spans="1:5" x14ac:dyDescent="0.25">
      <c r="A786" s="18">
        <v>2007</v>
      </c>
      <c r="B786" s="18" t="s">
        <v>44</v>
      </c>
      <c r="C786" s="18">
        <v>0</v>
      </c>
      <c r="D786" s="18">
        <v>0</v>
      </c>
      <c r="E786" s="18">
        <v>0</v>
      </c>
    </row>
    <row r="787" spans="1:5" x14ac:dyDescent="0.25">
      <c r="A787" s="18">
        <v>2008</v>
      </c>
      <c r="B787" s="18" t="s">
        <v>44</v>
      </c>
      <c r="C787" s="18">
        <v>0</v>
      </c>
      <c r="D787" s="18">
        <v>0</v>
      </c>
      <c r="E787" s="18">
        <v>0</v>
      </c>
    </row>
    <row r="788" spans="1:5" x14ac:dyDescent="0.25">
      <c r="A788" s="18">
        <v>1950</v>
      </c>
      <c r="B788" s="18" t="s">
        <v>45</v>
      </c>
      <c r="C788" s="18">
        <v>0</v>
      </c>
      <c r="D788" s="18">
        <v>0</v>
      </c>
      <c r="E788" s="18">
        <v>0</v>
      </c>
    </row>
    <row r="789" spans="1:5" x14ac:dyDescent="0.25">
      <c r="A789" s="18">
        <v>1951</v>
      </c>
      <c r="B789" s="18" t="s">
        <v>45</v>
      </c>
      <c r="C789" s="18">
        <v>0</v>
      </c>
      <c r="D789" s="18">
        <v>0</v>
      </c>
      <c r="E789" s="18">
        <v>0</v>
      </c>
    </row>
    <row r="790" spans="1:5" x14ac:dyDescent="0.25">
      <c r="A790" s="18">
        <v>1952</v>
      </c>
      <c r="B790" s="18" t="s">
        <v>45</v>
      </c>
      <c r="C790" s="18">
        <v>0</v>
      </c>
      <c r="D790" s="18">
        <v>0</v>
      </c>
      <c r="E790" s="18">
        <v>0</v>
      </c>
    </row>
    <row r="791" spans="1:5" x14ac:dyDescent="0.25">
      <c r="A791" s="18">
        <v>1953</v>
      </c>
      <c r="B791" s="18" t="s">
        <v>45</v>
      </c>
      <c r="C791" s="18">
        <v>0</v>
      </c>
      <c r="D791" s="18">
        <v>0</v>
      </c>
      <c r="E791" s="18">
        <v>0</v>
      </c>
    </row>
    <row r="792" spans="1:5" x14ac:dyDescent="0.25">
      <c r="A792" s="18">
        <v>1954</v>
      </c>
      <c r="B792" s="18" t="s">
        <v>45</v>
      </c>
      <c r="C792" s="18">
        <v>0</v>
      </c>
      <c r="D792" s="18">
        <v>0</v>
      </c>
      <c r="E792" s="18">
        <v>0</v>
      </c>
    </row>
    <row r="793" spans="1:5" x14ac:dyDescent="0.25">
      <c r="A793" s="18">
        <v>1955</v>
      </c>
      <c r="B793" s="18" t="s">
        <v>45</v>
      </c>
      <c r="C793" s="18">
        <v>0</v>
      </c>
      <c r="D793" s="18">
        <v>0</v>
      </c>
      <c r="E793" s="18">
        <v>0</v>
      </c>
    </row>
    <row r="794" spans="1:5" x14ac:dyDescent="0.25">
      <c r="A794" s="18">
        <v>1956</v>
      </c>
      <c r="B794" s="18" t="s">
        <v>45</v>
      </c>
      <c r="C794" s="18">
        <v>0</v>
      </c>
      <c r="D794" s="18">
        <v>0</v>
      </c>
      <c r="E794" s="18">
        <v>0</v>
      </c>
    </row>
    <row r="795" spans="1:5" x14ac:dyDescent="0.25">
      <c r="A795" s="18">
        <v>1957</v>
      </c>
      <c r="B795" s="18" t="s">
        <v>45</v>
      </c>
      <c r="C795" s="18">
        <v>0</v>
      </c>
      <c r="D795" s="18">
        <v>0</v>
      </c>
      <c r="E795" s="18">
        <v>0</v>
      </c>
    </row>
    <row r="796" spans="1:5" x14ac:dyDescent="0.25">
      <c r="A796" s="18">
        <v>1958</v>
      </c>
      <c r="B796" s="18" t="s">
        <v>45</v>
      </c>
      <c r="C796" s="18">
        <v>0</v>
      </c>
      <c r="D796" s="18">
        <v>0</v>
      </c>
      <c r="E796" s="18">
        <v>0</v>
      </c>
    </row>
    <row r="797" spans="1:5" x14ac:dyDescent="0.25">
      <c r="A797" s="18">
        <v>1959</v>
      </c>
      <c r="B797" s="18" t="s">
        <v>45</v>
      </c>
      <c r="C797" s="18">
        <v>0</v>
      </c>
      <c r="D797" s="18">
        <v>0</v>
      </c>
      <c r="E797" s="18">
        <v>0</v>
      </c>
    </row>
    <row r="798" spans="1:5" x14ac:dyDescent="0.25">
      <c r="A798" s="18">
        <v>1960</v>
      </c>
      <c r="B798" s="18" t="s">
        <v>45</v>
      </c>
      <c r="C798" s="18">
        <v>0</v>
      </c>
      <c r="D798" s="18">
        <v>0</v>
      </c>
      <c r="E798" s="18">
        <v>0</v>
      </c>
    </row>
    <row r="799" spans="1:5" x14ac:dyDescent="0.25">
      <c r="A799" s="18">
        <v>1961</v>
      </c>
      <c r="B799" s="18" t="s">
        <v>45</v>
      </c>
      <c r="C799" s="18">
        <v>0</v>
      </c>
      <c r="D799" s="18">
        <v>0</v>
      </c>
      <c r="E799" s="18">
        <v>0</v>
      </c>
    </row>
    <row r="800" spans="1:5" x14ac:dyDescent="0.25">
      <c r="A800" s="18">
        <v>1962</v>
      </c>
      <c r="B800" s="18" t="s">
        <v>45</v>
      </c>
      <c r="C800" s="18">
        <v>0</v>
      </c>
      <c r="D800" s="18">
        <v>0</v>
      </c>
      <c r="E800" s="18">
        <v>0</v>
      </c>
    </row>
    <row r="801" spans="1:5" x14ac:dyDescent="0.25">
      <c r="A801" s="18">
        <v>1963</v>
      </c>
      <c r="B801" s="18" t="s">
        <v>45</v>
      </c>
      <c r="C801" s="18">
        <v>0</v>
      </c>
      <c r="D801" s="18">
        <v>0</v>
      </c>
      <c r="E801" s="18">
        <v>0</v>
      </c>
    </row>
    <row r="802" spans="1:5" x14ac:dyDescent="0.25">
      <c r="A802" s="18">
        <v>1964</v>
      </c>
      <c r="B802" s="18" t="s">
        <v>45</v>
      </c>
      <c r="C802" s="18">
        <v>0</v>
      </c>
      <c r="D802" s="18">
        <v>0</v>
      </c>
      <c r="E802" s="18">
        <v>0</v>
      </c>
    </row>
    <row r="803" spans="1:5" x14ac:dyDescent="0.25">
      <c r="A803" s="18">
        <v>1965</v>
      </c>
      <c r="B803" s="18" t="s">
        <v>45</v>
      </c>
      <c r="C803" s="18">
        <v>0</v>
      </c>
      <c r="D803" s="18">
        <v>0</v>
      </c>
      <c r="E803" s="18">
        <v>0</v>
      </c>
    </row>
    <row r="804" spans="1:5" x14ac:dyDescent="0.25">
      <c r="A804" s="18">
        <v>1966</v>
      </c>
      <c r="B804" s="18" t="s">
        <v>45</v>
      </c>
      <c r="C804" s="18">
        <v>0</v>
      </c>
      <c r="D804" s="18">
        <v>0</v>
      </c>
      <c r="E804" s="18">
        <v>0</v>
      </c>
    </row>
    <row r="805" spans="1:5" x14ac:dyDescent="0.25">
      <c r="A805" s="18">
        <v>1967</v>
      </c>
      <c r="B805" s="18" t="s">
        <v>45</v>
      </c>
      <c r="C805" s="18">
        <v>0</v>
      </c>
      <c r="D805" s="18">
        <v>0</v>
      </c>
      <c r="E805" s="18">
        <v>0</v>
      </c>
    </row>
    <row r="806" spans="1:5" x14ac:dyDescent="0.25">
      <c r="A806" s="18">
        <v>1968</v>
      </c>
      <c r="B806" s="18" t="s">
        <v>45</v>
      </c>
      <c r="C806" s="18">
        <v>0</v>
      </c>
      <c r="D806" s="18">
        <v>0</v>
      </c>
      <c r="E806" s="18">
        <v>0</v>
      </c>
    </row>
    <row r="807" spans="1:5" x14ac:dyDescent="0.25">
      <c r="A807" s="18">
        <v>1969</v>
      </c>
      <c r="B807" s="18" t="s">
        <v>45</v>
      </c>
      <c r="C807" s="18">
        <v>0</v>
      </c>
      <c r="D807" s="18">
        <v>0</v>
      </c>
      <c r="E807" s="18">
        <v>0</v>
      </c>
    </row>
    <row r="808" spans="1:5" x14ac:dyDescent="0.25">
      <c r="A808" s="18">
        <v>1970</v>
      </c>
      <c r="B808" s="18" t="s">
        <v>45</v>
      </c>
      <c r="C808" s="18">
        <v>0</v>
      </c>
      <c r="D808" s="18">
        <v>0</v>
      </c>
      <c r="E808" s="18">
        <v>0</v>
      </c>
    </row>
    <row r="809" spans="1:5" x14ac:dyDescent="0.25">
      <c r="A809" s="18">
        <v>1971</v>
      </c>
      <c r="B809" s="18" t="s">
        <v>45</v>
      </c>
      <c r="C809" s="18">
        <v>0</v>
      </c>
      <c r="D809" s="18">
        <v>0</v>
      </c>
      <c r="E809" s="18">
        <v>0</v>
      </c>
    </row>
    <row r="810" spans="1:5" x14ac:dyDescent="0.25">
      <c r="A810" s="18">
        <v>1972</v>
      </c>
      <c r="B810" s="18" t="s">
        <v>45</v>
      </c>
      <c r="C810" s="18">
        <v>0</v>
      </c>
      <c r="D810" s="18">
        <v>0</v>
      </c>
      <c r="E810" s="18">
        <v>0</v>
      </c>
    </row>
    <row r="811" spans="1:5" x14ac:dyDescent="0.25">
      <c r="A811" s="18">
        <v>1973</v>
      </c>
      <c r="B811" s="18" t="s">
        <v>45</v>
      </c>
      <c r="C811" s="18">
        <v>0</v>
      </c>
      <c r="D811" s="18">
        <v>0</v>
      </c>
      <c r="E811" s="18">
        <v>0</v>
      </c>
    </row>
    <row r="812" spans="1:5" x14ac:dyDescent="0.25">
      <c r="A812" s="18">
        <v>1974</v>
      </c>
      <c r="B812" s="18" t="s">
        <v>45</v>
      </c>
      <c r="C812" s="18">
        <v>0</v>
      </c>
      <c r="D812" s="18">
        <v>0</v>
      </c>
      <c r="E812" s="18">
        <v>0</v>
      </c>
    </row>
    <row r="813" spans="1:5" x14ac:dyDescent="0.25">
      <c r="A813" s="18">
        <v>1975</v>
      </c>
      <c r="B813" s="18" t="s">
        <v>45</v>
      </c>
      <c r="C813" s="18">
        <v>949</v>
      </c>
      <c r="D813" s="18">
        <v>1000</v>
      </c>
      <c r="E813" s="18">
        <v>1949</v>
      </c>
    </row>
    <row r="814" spans="1:5" x14ac:dyDescent="0.25">
      <c r="A814" s="18">
        <v>1976</v>
      </c>
      <c r="B814" s="18" t="s">
        <v>45</v>
      </c>
      <c r="C814" s="18">
        <v>0</v>
      </c>
      <c r="D814" s="18">
        <v>0</v>
      </c>
      <c r="E814" s="18">
        <v>0</v>
      </c>
    </row>
    <row r="815" spans="1:5" x14ac:dyDescent="0.25">
      <c r="A815" s="18">
        <v>1977</v>
      </c>
      <c r="B815" s="18" t="s">
        <v>45</v>
      </c>
      <c r="C815" s="18">
        <v>0</v>
      </c>
      <c r="D815" s="18">
        <v>0</v>
      </c>
      <c r="E815" s="18">
        <v>0</v>
      </c>
    </row>
    <row r="816" spans="1:5" x14ac:dyDescent="0.25">
      <c r="A816" s="18">
        <v>1978</v>
      </c>
      <c r="B816" s="18" t="s">
        <v>45</v>
      </c>
      <c r="C816" s="18">
        <v>0</v>
      </c>
      <c r="D816" s="18">
        <v>0</v>
      </c>
      <c r="E816" s="18">
        <v>0</v>
      </c>
    </row>
    <row r="817" spans="1:5" x14ac:dyDescent="0.25">
      <c r="A817" s="18">
        <v>1979</v>
      </c>
      <c r="B817" s="18" t="s">
        <v>45</v>
      </c>
      <c r="C817" s="18">
        <v>0</v>
      </c>
      <c r="D817" s="18">
        <v>0</v>
      </c>
      <c r="E817" s="18">
        <v>0</v>
      </c>
    </row>
    <row r="818" spans="1:5" x14ac:dyDescent="0.25">
      <c r="A818" s="18">
        <v>1980</v>
      </c>
      <c r="B818" s="18" t="s">
        <v>45</v>
      </c>
      <c r="C818" s="18">
        <v>963</v>
      </c>
      <c r="D818" s="18">
        <v>940</v>
      </c>
      <c r="E818" s="18">
        <v>1902</v>
      </c>
    </row>
    <row r="819" spans="1:5" x14ac:dyDescent="0.25">
      <c r="A819" s="18">
        <v>1981</v>
      </c>
      <c r="B819" s="18" t="s">
        <v>45</v>
      </c>
      <c r="C819" s="18">
        <v>0</v>
      </c>
      <c r="D819" s="18">
        <v>0</v>
      </c>
      <c r="E819" s="18">
        <v>0</v>
      </c>
    </row>
    <row r="820" spans="1:5" x14ac:dyDescent="0.25">
      <c r="A820" s="18">
        <v>1982</v>
      </c>
      <c r="B820" s="18" t="s">
        <v>45</v>
      </c>
      <c r="C820" s="18">
        <v>0</v>
      </c>
      <c r="D820" s="18">
        <v>0</v>
      </c>
      <c r="E820" s="18">
        <v>0</v>
      </c>
    </row>
    <row r="821" spans="1:5" x14ac:dyDescent="0.25">
      <c r="A821" s="18">
        <v>1983</v>
      </c>
      <c r="B821" s="18" t="s">
        <v>45</v>
      </c>
      <c r="C821" s="18">
        <v>0</v>
      </c>
      <c r="D821" s="18">
        <v>0</v>
      </c>
      <c r="E821" s="18">
        <v>0</v>
      </c>
    </row>
    <row r="822" spans="1:5" x14ac:dyDescent="0.25">
      <c r="A822" s="18">
        <v>1984</v>
      </c>
      <c r="B822" s="18" t="s">
        <v>45</v>
      </c>
      <c r="C822" s="18">
        <v>0</v>
      </c>
      <c r="D822" s="18">
        <v>0</v>
      </c>
      <c r="E822" s="18">
        <v>0</v>
      </c>
    </row>
    <row r="823" spans="1:5" x14ac:dyDescent="0.25">
      <c r="A823" s="18">
        <v>1985</v>
      </c>
      <c r="B823" s="18" t="s">
        <v>45</v>
      </c>
      <c r="C823" s="18">
        <v>1007</v>
      </c>
      <c r="D823" s="18">
        <v>1085</v>
      </c>
      <c r="E823" s="18">
        <v>2093</v>
      </c>
    </row>
    <row r="824" spans="1:5" x14ac:dyDescent="0.25">
      <c r="A824" s="18">
        <v>1986</v>
      </c>
      <c r="B824" s="18" t="s">
        <v>45</v>
      </c>
      <c r="C824" s="18">
        <v>0</v>
      </c>
      <c r="D824" s="18">
        <v>0</v>
      </c>
      <c r="E824" s="18">
        <v>0</v>
      </c>
    </row>
    <row r="825" spans="1:5" x14ac:dyDescent="0.25">
      <c r="A825" s="18">
        <v>1987</v>
      </c>
      <c r="B825" s="18" t="s">
        <v>45</v>
      </c>
      <c r="C825" s="18">
        <v>0</v>
      </c>
      <c r="D825" s="18">
        <v>0</v>
      </c>
      <c r="E825" s="18">
        <v>0</v>
      </c>
    </row>
    <row r="826" spans="1:5" x14ac:dyDescent="0.25">
      <c r="A826" s="18">
        <v>1988</v>
      </c>
      <c r="B826" s="18" t="s">
        <v>45</v>
      </c>
      <c r="C826" s="18">
        <v>0</v>
      </c>
      <c r="D826" s="18">
        <v>0</v>
      </c>
      <c r="E826" s="18">
        <v>0</v>
      </c>
    </row>
    <row r="827" spans="1:5" x14ac:dyDescent="0.25">
      <c r="A827" s="18">
        <v>1989</v>
      </c>
      <c r="B827" s="18" t="s">
        <v>45</v>
      </c>
      <c r="C827" s="18">
        <v>0</v>
      </c>
      <c r="D827" s="18">
        <v>0</v>
      </c>
      <c r="E827" s="18">
        <v>0</v>
      </c>
    </row>
    <row r="828" spans="1:5" x14ac:dyDescent="0.25">
      <c r="A828" s="18">
        <v>1990</v>
      </c>
      <c r="B828" s="18" t="s">
        <v>45</v>
      </c>
      <c r="C828" s="18">
        <v>1005</v>
      </c>
      <c r="D828" s="18">
        <v>1032</v>
      </c>
      <c r="E828" s="18">
        <v>2036</v>
      </c>
    </row>
    <row r="829" spans="1:5" x14ac:dyDescent="0.25">
      <c r="A829" s="18">
        <v>1991</v>
      </c>
      <c r="B829" s="18" t="s">
        <v>45</v>
      </c>
      <c r="C829" s="18">
        <v>0</v>
      </c>
      <c r="D829" s="18">
        <v>0</v>
      </c>
      <c r="E829" s="18">
        <v>0</v>
      </c>
    </row>
    <row r="830" spans="1:5" x14ac:dyDescent="0.25">
      <c r="A830" s="18">
        <v>1992</v>
      </c>
      <c r="B830" s="18" t="s">
        <v>45</v>
      </c>
      <c r="C830" s="18">
        <v>0</v>
      </c>
      <c r="D830" s="18">
        <v>0</v>
      </c>
      <c r="E830" s="18">
        <v>0</v>
      </c>
    </row>
    <row r="831" spans="1:5" x14ac:dyDescent="0.25">
      <c r="A831" s="18">
        <v>1993</v>
      </c>
      <c r="B831" s="18" t="s">
        <v>45</v>
      </c>
      <c r="C831" s="18">
        <v>0</v>
      </c>
      <c r="D831" s="18">
        <v>0</v>
      </c>
      <c r="E831" s="18">
        <v>0</v>
      </c>
    </row>
    <row r="832" spans="1:5" x14ac:dyDescent="0.25">
      <c r="A832" s="18">
        <v>1994</v>
      </c>
      <c r="B832" s="18" t="s">
        <v>45</v>
      </c>
      <c r="C832" s="18">
        <v>0</v>
      </c>
      <c r="D832" s="18">
        <v>0</v>
      </c>
      <c r="E832" s="18">
        <v>0</v>
      </c>
    </row>
    <row r="833" spans="1:5" x14ac:dyDescent="0.25">
      <c r="A833" s="18">
        <v>1995</v>
      </c>
      <c r="B833" s="18" t="s">
        <v>45</v>
      </c>
      <c r="C833" s="18">
        <v>0</v>
      </c>
      <c r="D833" s="18">
        <v>0</v>
      </c>
      <c r="E833" s="18">
        <v>0</v>
      </c>
    </row>
    <row r="834" spans="1:5" x14ac:dyDescent="0.25">
      <c r="A834" s="18">
        <v>1996</v>
      </c>
      <c r="B834" s="18" t="s">
        <v>45</v>
      </c>
      <c r="C834" s="18">
        <v>0</v>
      </c>
      <c r="D834" s="18">
        <v>0</v>
      </c>
      <c r="E834" s="18">
        <v>0</v>
      </c>
    </row>
    <row r="835" spans="1:5" x14ac:dyDescent="0.25">
      <c r="A835" s="18">
        <v>1997</v>
      </c>
      <c r="B835" s="18" t="s">
        <v>45</v>
      </c>
      <c r="C835" s="18">
        <v>0</v>
      </c>
      <c r="D835" s="18">
        <v>0</v>
      </c>
      <c r="E835" s="18">
        <v>0</v>
      </c>
    </row>
    <row r="836" spans="1:5" x14ac:dyDescent="0.25">
      <c r="A836" s="18">
        <v>1998</v>
      </c>
      <c r="B836" s="18" t="s">
        <v>45</v>
      </c>
      <c r="C836" s="18">
        <v>0</v>
      </c>
      <c r="D836" s="18">
        <v>0</v>
      </c>
      <c r="E836" s="18">
        <v>0</v>
      </c>
    </row>
    <row r="837" spans="1:5" x14ac:dyDescent="0.25">
      <c r="A837" s="18">
        <v>1999</v>
      </c>
      <c r="B837" s="18" t="s">
        <v>45</v>
      </c>
      <c r="C837" s="18">
        <v>0</v>
      </c>
      <c r="D837" s="18">
        <v>0</v>
      </c>
      <c r="E837" s="18">
        <v>0</v>
      </c>
    </row>
    <row r="838" spans="1:5" x14ac:dyDescent="0.25">
      <c r="A838" s="18">
        <v>2000</v>
      </c>
      <c r="B838" s="18" t="s">
        <v>45</v>
      </c>
      <c r="C838" s="18">
        <v>1330</v>
      </c>
      <c r="D838" s="18">
        <v>1402</v>
      </c>
      <c r="E838" s="18">
        <v>2736</v>
      </c>
    </row>
    <row r="839" spans="1:5" x14ac:dyDescent="0.25">
      <c r="A839" s="18">
        <v>2001</v>
      </c>
      <c r="B839" s="18" t="s">
        <v>45</v>
      </c>
      <c r="C839" s="18">
        <v>0</v>
      </c>
      <c r="D839" s="18">
        <v>0</v>
      </c>
      <c r="E839" s="18">
        <v>0</v>
      </c>
    </row>
    <row r="840" spans="1:5" x14ac:dyDescent="0.25">
      <c r="A840" s="18">
        <v>2002</v>
      </c>
      <c r="B840" s="18" t="s">
        <v>45</v>
      </c>
      <c r="C840" s="18">
        <v>0</v>
      </c>
      <c r="D840" s="18">
        <v>0</v>
      </c>
      <c r="E840" s="18">
        <v>0</v>
      </c>
    </row>
    <row r="841" spans="1:5" x14ac:dyDescent="0.25">
      <c r="A841" s="18">
        <v>2003</v>
      </c>
      <c r="B841" s="18" t="s">
        <v>45</v>
      </c>
      <c r="C841" s="18">
        <v>0</v>
      </c>
      <c r="D841" s="18">
        <v>0</v>
      </c>
      <c r="E841" s="18">
        <v>0</v>
      </c>
    </row>
    <row r="842" spans="1:5" x14ac:dyDescent="0.25">
      <c r="A842" s="18">
        <v>2004</v>
      </c>
      <c r="B842" s="18" t="s">
        <v>45</v>
      </c>
      <c r="C842" s="18">
        <v>0</v>
      </c>
      <c r="D842" s="18">
        <v>0</v>
      </c>
      <c r="E842" s="18">
        <v>0</v>
      </c>
    </row>
    <row r="843" spans="1:5" x14ac:dyDescent="0.25">
      <c r="A843" s="18">
        <v>2005</v>
      </c>
      <c r="B843" s="18" t="s">
        <v>45</v>
      </c>
      <c r="C843" s="18">
        <v>0</v>
      </c>
      <c r="D843" s="18">
        <v>0</v>
      </c>
      <c r="E843" s="18">
        <v>0</v>
      </c>
    </row>
    <row r="844" spans="1:5" x14ac:dyDescent="0.25">
      <c r="A844" s="18">
        <v>2006</v>
      </c>
      <c r="B844" s="18" t="s">
        <v>45</v>
      </c>
      <c r="C844" s="18">
        <v>0</v>
      </c>
      <c r="D844" s="18">
        <v>0</v>
      </c>
      <c r="E844" s="18">
        <v>0</v>
      </c>
    </row>
    <row r="845" spans="1:5" x14ac:dyDescent="0.25">
      <c r="A845" s="18">
        <v>2007</v>
      </c>
      <c r="B845" s="18" t="s">
        <v>45</v>
      </c>
      <c r="C845" s="18">
        <v>0</v>
      </c>
      <c r="D845" s="18">
        <v>0</v>
      </c>
      <c r="E845" s="18">
        <v>0</v>
      </c>
    </row>
    <row r="846" spans="1:5" x14ac:dyDescent="0.25">
      <c r="A846" s="18">
        <v>2008</v>
      </c>
      <c r="B846" s="18" t="s">
        <v>45</v>
      </c>
      <c r="C846" s="18">
        <v>0</v>
      </c>
      <c r="D846" s="18">
        <v>0</v>
      </c>
      <c r="E846" s="18">
        <v>0</v>
      </c>
    </row>
    <row r="847" spans="1:5" x14ac:dyDescent="0.25">
      <c r="A847" s="18">
        <v>1950</v>
      </c>
      <c r="B847" s="18" t="s">
        <v>46</v>
      </c>
      <c r="C847" s="18">
        <v>0</v>
      </c>
      <c r="D847" s="18">
        <v>0</v>
      </c>
      <c r="E847" s="18">
        <v>0</v>
      </c>
    </row>
    <row r="848" spans="1:5" x14ac:dyDescent="0.25">
      <c r="A848" s="18">
        <v>1951</v>
      </c>
      <c r="B848" s="18" t="s">
        <v>46</v>
      </c>
      <c r="C848" s="18">
        <v>0</v>
      </c>
      <c r="D848" s="18">
        <v>0</v>
      </c>
      <c r="E848" s="18">
        <v>0</v>
      </c>
    </row>
    <row r="849" spans="1:5" x14ac:dyDescent="0.25">
      <c r="A849" s="18">
        <v>1952</v>
      </c>
      <c r="B849" s="18" t="s">
        <v>46</v>
      </c>
      <c r="C849" s="18">
        <v>0</v>
      </c>
      <c r="D849" s="18">
        <v>0</v>
      </c>
      <c r="E849" s="18">
        <v>0</v>
      </c>
    </row>
    <row r="850" spans="1:5" x14ac:dyDescent="0.25">
      <c r="A850" s="18">
        <v>1953</v>
      </c>
      <c r="B850" s="18" t="s">
        <v>46</v>
      </c>
      <c r="C850" s="18">
        <v>0</v>
      </c>
      <c r="D850" s="18">
        <v>0</v>
      </c>
      <c r="E850" s="18">
        <v>0</v>
      </c>
    </row>
    <row r="851" spans="1:5" x14ac:dyDescent="0.25">
      <c r="A851" s="18">
        <v>1954</v>
      </c>
      <c r="B851" s="18" t="s">
        <v>46</v>
      </c>
      <c r="C851" s="18">
        <v>0</v>
      </c>
      <c r="D851" s="18">
        <v>0</v>
      </c>
      <c r="E851" s="18">
        <v>0</v>
      </c>
    </row>
    <row r="852" spans="1:5" x14ac:dyDescent="0.25">
      <c r="A852" s="18">
        <v>1955</v>
      </c>
      <c r="B852" s="18" t="s">
        <v>46</v>
      </c>
      <c r="C852" s="18">
        <v>0</v>
      </c>
      <c r="D852" s="18">
        <v>0</v>
      </c>
      <c r="E852" s="18">
        <v>0</v>
      </c>
    </row>
    <row r="853" spans="1:5" x14ac:dyDescent="0.25">
      <c r="A853" s="18">
        <v>1956</v>
      </c>
      <c r="B853" s="18" t="s">
        <v>46</v>
      </c>
      <c r="C853" s="18">
        <v>0</v>
      </c>
      <c r="D853" s="18">
        <v>0</v>
      </c>
      <c r="E853" s="18">
        <v>0</v>
      </c>
    </row>
    <row r="854" spans="1:5" x14ac:dyDescent="0.25">
      <c r="A854" s="18">
        <v>1957</v>
      </c>
      <c r="B854" s="18" t="s">
        <v>46</v>
      </c>
      <c r="C854" s="18">
        <v>0</v>
      </c>
      <c r="D854" s="18">
        <v>0</v>
      </c>
      <c r="E854" s="18">
        <v>0</v>
      </c>
    </row>
    <row r="855" spans="1:5" x14ac:dyDescent="0.25">
      <c r="A855" s="18">
        <v>1958</v>
      </c>
      <c r="B855" s="18" t="s">
        <v>46</v>
      </c>
      <c r="C855" s="18">
        <v>0</v>
      </c>
      <c r="D855" s="18">
        <v>0</v>
      </c>
      <c r="E855" s="18">
        <v>0</v>
      </c>
    </row>
    <row r="856" spans="1:5" x14ac:dyDescent="0.25">
      <c r="A856" s="18">
        <v>1959</v>
      </c>
      <c r="B856" s="18" t="s">
        <v>46</v>
      </c>
      <c r="C856" s="18">
        <v>0</v>
      </c>
      <c r="D856" s="18">
        <v>0</v>
      </c>
      <c r="E856" s="18">
        <v>0</v>
      </c>
    </row>
    <row r="857" spans="1:5" x14ac:dyDescent="0.25">
      <c r="A857" s="18">
        <v>1960</v>
      </c>
      <c r="B857" s="18" t="s">
        <v>46</v>
      </c>
      <c r="C857" s="18">
        <v>0</v>
      </c>
      <c r="D857" s="18">
        <v>0</v>
      </c>
      <c r="E857" s="18">
        <v>0</v>
      </c>
    </row>
    <row r="858" spans="1:5" x14ac:dyDescent="0.25">
      <c r="A858" s="18">
        <v>1961</v>
      </c>
      <c r="B858" s="18" t="s">
        <v>46</v>
      </c>
      <c r="C858" s="18">
        <v>0</v>
      </c>
      <c r="D858" s="18">
        <v>0</v>
      </c>
      <c r="E858" s="18">
        <v>0</v>
      </c>
    </row>
    <row r="859" spans="1:5" x14ac:dyDescent="0.25">
      <c r="A859" s="18">
        <v>1962</v>
      </c>
      <c r="B859" s="18" t="s">
        <v>46</v>
      </c>
      <c r="C859" s="18">
        <v>0</v>
      </c>
      <c r="D859" s="18">
        <v>0</v>
      </c>
      <c r="E859" s="18">
        <v>0</v>
      </c>
    </row>
    <row r="860" spans="1:5" x14ac:dyDescent="0.25">
      <c r="A860" s="18">
        <v>1963</v>
      </c>
      <c r="B860" s="18" t="s">
        <v>46</v>
      </c>
      <c r="C860" s="18">
        <v>0</v>
      </c>
      <c r="D860" s="18">
        <v>0</v>
      </c>
      <c r="E860" s="18">
        <v>0</v>
      </c>
    </row>
    <row r="861" spans="1:5" x14ac:dyDescent="0.25">
      <c r="A861" s="18">
        <v>1964</v>
      </c>
      <c r="B861" s="18" t="s">
        <v>46</v>
      </c>
      <c r="C861" s="18">
        <v>0</v>
      </c>
      <c r="D861" s="18">
        <v>0</v>
      </c>
      <c r="E861" s="18">
        <v>0</v>
      </c>
    </row>
    <row r="862" spans="1:5" x14ac:dyDescent="0.25">
      <c r="A862" s="18">
        <v>1965</v>
      </c>
      <c r="B862" s="18" t="s">
        <v>46</v>
      </c>
      <c r="C862" s="18">
        <v>0</v>
      </c>
      <c r="D862" s="18">
        <v>0</v>
      </c>
      <c r="E862" s="18">
        <v>0</v>
      </c>
    </row>
    <row r="863" spans="1:5" x14ac:dyDescent="0.25">
      <c r="A863" s="18">
        <v>1966</v>
      </c>
      <c r="B863" s="18" t="s">
        <v>46</v>
      </c>
      <c r="C863" s="18">
        <v>0</v>
      </c>
      <c r="D863" s="18">
        <v>0</v>
      </c>
      <c r="E863" s="18">
        <v>0</v>
      </c>
    </row>
    <row r="864" spans="1:5" x14ac:dyDescent="0.25">
      <c r="A864" s="18">
        <v>1967</v>
      </c>
      <c r="B864" s="18" t="s">
        <v>46</v>
      </c>
      <c r="C864" s="18">
        <v>0</v>
      </c>
      <c r="D864" s="18">
        <v>0</v>
      </c>
      <c r="E864" s="18">
        <v>0</v>
      </c>
    </row>
    <row r="865" spans="1:5" x14ac:dyDescent="0.25">
      <c r="A865" s="18">
        <v>1968</v>
      </c>
      <c r="B865" s="18" t="s">
        <v>46</v>
      </c>
      <c r="C865" s="18">
        <v>0</v>
      </c>
      <c r="D865" s="18">
        <v>0</v>
      </c>
      <c r="E865" s="18">
        <v>0</v>
      </c>
    </row>
    <row r="866" spans="1:5" x14ac:dyDescent="0.25">
      <c r="A866" s="18">
        <v>1969</v>
      </c>
      <c r="B866" s="18" t="s">
        <v>46</v>
      </c>
      <c r="C866" s="18">
        <v>0</v>
      </c>
      <c r="D866" s="18">
        <v>0</v>
      </c>
      <c r="E866" s="18">
        <v>0</v>
      </c>
    </row>
    <row r="867" spans="1:5" x14ac:dyDescent="0.25">
      <c r="A867" s="18">
        <v>1970</v>
      </c>
      <c r="B867" s="18" t="s">
        <v>46</v>
      </c>
      <c r="C867" s="18">
        <v>2493</v>
      </c>
      <c r="D867" s="18">
        <v>2419</v>
      </c>
      <c r="E867" s="18">
        <v>4923</v>
      </c>
    </row>
    <row r="868" spans="1:5" x14ac:dyDescent="0.25">
      <c r="A868" s="18">
        <v>1971</v>
      </c>
      <c r="B868" s="18" t="s">
        <v>46</v>
      </c>
      <c r="C868" s="18">
        <v>0</v>
      </c>
      <c r="D868" s="18">
        <v>0</v>
      </c>
      <c r="E868" s="18">
        <v>0</v>
      </c>
    </row>
    <row r="869" spans="1:5" x14ac:dyDescent="0.25">
      <c r="A869" s="18">
        <v>1972</v>
      </c>
      <c r="B869" s="18" t="s">
        <v>46</v>
      </c>
      <c r="C869" s="18">
        <v>0</v>
      </c>
      <c r="D869" s="18">
        <v>0</v>
      </c>
      <c r="E869" s="18">
        <v>0</v>
      </c>
    </row>
    <row r="870" spans="1:5" x14ac:dyDescent="0.25">
      <c r="A870" s="18">
        <v>1973</v>
      </c>
      <c r="B870" s="18" t="s">
        <v>46</v>
      </c>
      <c r="C870" s="18">
        <v>0</v>
      </c>
      <c r="D870" s="18">
        <v>0</v>
      </c>
      <c r="E870" s="18">
        <v>0</v>
      </c>
    </row>
    <row r="871" spans="1:5" x14ac:dyDescent="0.25">
      <c r="A871" s="18">
        <v>1974</v>
      </c>
      <c r="B871" s="18" t="s">
        <v>46</v>
      </c>
      <c r="C871" s="18">
        <v>0</v>
      </c>
      <c r="D871" s="18">
        <v>0</v>
      </c>
      <c r="E871" s="18">
        <v>0</v>
      </c>
    </row>
    <row r="872" spans="1:5" x14ac:dyDescent="0.25">
      <c r="A872" s="18">
        <v>1975</v>
      </c>
      <c r="B872" s="18" t="s">
        <v>46</v>
      </c>
      <c r="C872" s="18">
        <v>2972</v>
      </c>
      <c r="D872" s="18">
        <v>3024</v>
      </c>
      <c r="E872" s="18">
        <v>5991</v>
      </c>
    </row>
    <row r="873" spans="1:5" x14ac:dyDescent="0.25">
      <c r="A873" s="18">
        <v>1976</v>
      </c>
      <c r="B873" s="18" t="s">
        <v>46</v>
      </c>
      <c r="C873" s="18">
        <v>0</v>
      </c>
      <c r="D873" s="18">
        <v>0</v>
      </c>
      <c r="E873" s="18">
        <v>0</v>
      </c>
    </row>
    <row r="874" spans="1:5" x14ac:dyDescent="0.25">
      <c r="A874" s="18">
        <v>1977</v>
      </c>
      <c r="B874" s="18" t="s">
        <v>46</v>
      </c>
      <c r="C874" s="18">
        <v>0</v>
      </c>
      <c r="D874" s="18">
        <v>0</v>
      </c>
      <c r="E874" s="18">
        <v>0</v>
      </c>
    </row>
    <row r="875" spans="1:5" x14ac:dyDescent="0.25">
      <c r="A875" s="18">
        <v>1978</v>
      </c>
      <c r="B875" s="18" t="s">
        <v>46</v>
      </c>
      <c r="C875" s="18">
        <v>0</v>
      </c>
      <c r="D875" s="18">
        <v>0</v>
      </c>
      <c r="E875" s="18">
        <v>0</v>
      </c>
    </row>
    <row r="876" spans="1:5" x14ac:dyDescent="0.25">
      <c r="A876" s="18">
        <v>1979</v>
      </c>
      <c r="B876" s="18" t="s">
        <v>46</v>
      </c>
      <c r="C876" s="18">
        <v>0</v>
      </c>
      <c r="D876" s="18">
        <v>0</v>
      </c>
      <c r="E876" s="18">
        <v>0</v>
      </c>
    </row>
    <row r="877" spans="1:5" x14ac:dyDescent="0.25">
      <c r="A877" s="18">
        <v>1980</v>
      </c>
      <c r="B877" s="18" t="s">
        <v>46</v>
      </c>
      <c r="C877" s="18">
        <v>3235</v>
      </c>
      <c r="D877" s="18">
        <v>3369</v>
      </c>
      <c r="E877" s="18">
        <v>6599</v>
      </c>
    </row>
    <row r="878" spans="1:5" x14ac:dyDescent="0.25">
      <c r="A878" s="18">
        <v>1981</v>
      </c>
      <c r="B878" s="18" t="s">
        <v>46</v>
      </c>
      <c r="C878" s="18">
        <v>0</v>
      </c>
      <c r="D878" s="18">
        <v>0</v>
      </c>
      <c r="E878" s="18">
        <v>0</v>
      </c>
    </row>
    <row r="879" spans="1:5" x14ac:dyDescent="0.25">
      <c r="A879" s="18">
        <v>1982</v>
      </c>
      <c r="B879" s="18" t="s">
        <v>46</v>
      </c>
      <c r="C879" s="18">
        <v>0</v>
      </c>
      <c r="D879" s="18">
        <v>0</v>
      </c>
      <c r="E879" s="18">
        <v>0</v>
      </c>
    </row>
    <row r="880" spans="1:5" x14ac:dyDescent="0.25">
      <c r="A880" s="18">
        <v>1983</v>
      </c>
      <c r="B880" s="18" t="s">
        <v>46</v>
      </c>
      <c r="C880" s="18">
        <v>0</v>
      </c>
      <c r="D880" s="18">
        <v>0</v>
      </c>
      <c r="E880" s="18">
        <v>0</v>
      </c>
    </row>
    <row r="881" spans="1:5" x14ac:dyDescent="0.25">
      <c r="A881" s="18">
        <v>1984</v>
      </c>
      <c r="B881" s="18" t="s">
        <v>46</v>
      </c>
      <c r="C881" s="18">
        <v>0</v>
      </c>
      <c r="D881" s="18">
        <v>0</v>
      </c>
      <c r="E881" s="18">
        <v>0</v>
      </c>
    </row>
    <row r="882" spans="1:5" x14ac:dyDescent="0.25">
      <c r="A882" s="18">
        <v>1985</v>
      </c>
      <c r="B882" s="18" t="s">
        <v>46</v>
      </c>
      <c r="C882" s="18">
        <v>3884</v>
      </c>
      <c r="D882" s="18">
        <v>4101</v>
      </c>
      <c r="E882" s="18">
        <v>7985</v>
      </c>
    </row>
    <row r="883" spans="1:5" x14ac:dyDescent="0.25">
      <c r="A883" s="18">
        <v>1986</v>
      </c>
      <c r="B883" s="18" t="s">
        <v>46</v>
      </c>
      <c r="C883" s="18">
        <v>0</v>
      </c>
      <c r="D883" s="18">
        <v>0</v>
      </c>
      <c r="E883" s="18">
        <v>0</v>
      </c>
    </row>
    <row r="884" spans="1:5" x14ac:dyDescent="0.25">
      <c r="A884" s="18">
        <v>1987</v>
      </c>
      <c r="B884" s="18" t="s">
        <v>46</v>
      </c>
      <c r="C884" s="18">
        <v>0</v>
      </c>
      <c r="D884" s="18">
        <v>0</v>
      </c>
      <c r="E884" s="18">
        <v>0</v>
      </c>
    </row>
    <row r="885" spans="1:5" x14ac:dyDescent="0.25">
      <c r="A885" s="18">
        <v>1988</v>
      </c>
      <c r="B885" s="18" t="s">
        <v>46</v>
      </c>
      <c r="C885" s="18">
        <v>0</v>
      </c>
      <c r="D885" s="18">
        <v>0</v>
      </c>
      <c r="E885" s="18">
        <v>0</v>
      </c>
    </row>
    <row r="886" spans="1:5" x14ac:dyDescent="0.25">
      <c r="A886" s="18">
        <v>1989</v>
      </c>
      <c r="B886" s="18" t="s">
        <v>46</v>
      </c>
      <c r="C886" s="18">
        <v>0</v>
      </c>
      <c r="D886" s="18">
        <v>0</v>
      </c>
      <c r="E886" s="18">
        <v>0</v>
      </c>
    </row>
    <row r="887" spans="1:5" x14ac:dyDescent="0.25">
      <c r="A887" s="18">
        <v>1990</v>
      </c>
      <c r="B887" s="18" t="s">
        <v>46</v>
      </c>
      <c r="C887" s="18">
        <v>3884</v>
      </c>
      <c r="D887" s="18">
        <v>4305</v>
      </c>
      <c r="E887" s="18">
        <v>8189</v>
      </c>
    </row>
    <row r="888" spans="1:5" x14ac:dyDescent="0.25">
      <c r="A888" s="18">
        <v>1991</v>
      </c>
      <c r="B888" s="18" t="s">
        <v>46</v>
      </c>
      <c r="C888" s="18">
        <v>0</v>
      </c>
      <c r="D888" s="18">
        <v>0</v>
      </c>
      <c r="E888" s="18">
        <v>0</v>
      </c>
    </row>
    <row r="889" spans="1:5" x14ac:dyDescent="0.25">
      <c r="A889" s="18">
        <v>1992</v>
      </c>
      <c r="B889" s="18" t="s">
        <v>46</v>
      </c>
      <c r="C889" s="18">
        <v>0</v>
      </c>
      <c r="D889" s="18">
        <v>0</v>
      </c>
      <c r="E889" s="18">
        <v>0</v>
      </c>
    </row>
    <row r="890" spans="1:5" x14ac:dyDescent="0.25">
      <c r="A890" s="18">
        <v>1993</v>
      </c>
      <c r="B890" s="18" t="s">
        <v>46</v>
      </c>
      <c r="C890" s="18">
        <v>0</v>
      </c>
      <c r="D890" s="18">
        <v>0</v>
      </c>
      <c r="E890" s="18">
        <v>0</v>
      </c>
    </row>
    <row r="891" spans="1:5" x14ac:dyDescent="0.25">
      <c r="A891" s="18">
        <v>1994</v>
      </c>
      <c r="B891" s="18" t="s">
        <v>46</v>
      </c>
      <c r="C891" s="18">
        <v>0</v>
      </c>
      <c r="D891" s="18">
        <v>0</v>
      </c>
      <c r="E891" s="18">
        <v>0</v>
      </c>
    </row>
    <row r="892" spans="1:5" x14ac:dyDescent="0.25">
      <c r="A892" s="18">
        <v>1995</v>
      </c>
      <c r="B892" s="18" t="s">
        <v>46</v>
      </c>
      <c r="C892" s="18">
        <v>0</v>
      </c>
      <c r="D892" s="18">
        <v>0</v>
      </c>
      <c r="E892" s="18">
        <v>0</v>
      </c>
    </row>
    <row r="893" spans="1:5" x14ac:dyDescent="0.25">
      <c r="A893" s="18">
        <v>1996</v>
      </c>
      <c r="B893" s="18" t="s">
        <v>46</v>
      </c>
      <c r="C893" s="18">
        <v>0</v>
      </c>
      <c r="D893" s="18">
        <v>0</v>
      </c>
      <c r="E893" s="18">
        <v>0</v>
      </c>
    </row>
    <row r="894" spans="1:5" x14ac:dyDescent="0.25">
      <c r="A894" s="18">
        <v>1997</v>
      </c>
      <c r="B894" s="18" t="s">
        <v>46</v>
      </c>
      <c r="C894" s="18">
        <v>0</v>
      </c>
      <c r="D894" s="18">
        <v>0</v>
      </c>
      <c r="E894" s="18">
        <v>0</v>
      </c>
    </row>
    <row r="895" spans="1:5" x14ac:dyDescent="0.25">
      <c r="A895" s="18">
        <v>1998</v>
      </c>
      <c r="B895" s="18" t="s">
        <v>46</v>
      </c>
      <c r="C895" s="18">
        <v>0</v>
      </c>
      <c r="D895" s="18">
        <v>0</v>
      </c>
      <c r="E895" s="18">
        <v>0</v>
      </c>
    </row>
    <row r="896" spans="1:5" x14ac:dyDescent="0.25">
      <c r="A896" s="18">
        <v>1999</v>
      </c>
      <c r="B896" s="18" t="s">
        <v>46</v>
      </c>
      <c r="C896" s="18">
        <v>0</v>
      </c>
      <c r="D896" s="18">
        <v>0</v>
      </c>
      <c r="E896" s="18">
        <v>0</v>
      </c>
    </row>
    <row r="897" spans="1:5" x14ac:dyDescent="0.25">
      <c r="A897" s="18">
        <v>2000</v>
      </c>
      <c r="B897" s="18" t="s">
        <v>46</v>
      </c>
      <c r="C897" s="18">
        <v>5283</v>
      </c>
      <c r="D897" s="18">
        <v>5677</v>
      </c>
      <c r="E897" s="18">
        <v>10960</v>
      </c>
    </row>
    <row r="898" spans="1:5" x14ac:dyDescent="0.25">
      <c r="A898" s="18">
        <v>2001</v>
      </c>
      <c r="B898" s="18" t="s">
        <v>46</v>
      </c>
      <c r="C898" s="18">
        <v>0</v>
      </c>
      <c r="D898" s="18">
        <v>0</v>
      </c>
      <c r="E898" s="18">
        <v>0</v>
      </c>
    </row>
    <row r="899" spans="1:5" x14ac:dyDescent="0.25">
      <c r="A899" s="18">
        <v>2002</v>
      </c>
      <c r="B899" s="18" t="s">
        <v>46</v>
      </c>
      <c r="C899" s="18">
        <v>0</v>
      </c>
      <c r="D899" s="18">
        <v>0</v>
      </c>
      <c r="E899" s="18">
        <v>0</v>
      </c>
    </row>
    <row r="900" spans="1:5" x14ac:dyDescent="0.25">
      <c r="A900" s="18">
        <v>2003</v>
      </c>
      <c r="B900" s="18" t="s">
        <v>46</v>
      </c>
      <c r="C900" s="18">
        <v>0</v>
      </c>
      <c r="D900" s="18">
        <v>0</v>
      </c>
      <c r="E900" s="18">
        <v>0</v>
      </c>
    </row>
    <row r="901" spans="1:5" x14ac:dyDescent="0.25">
      <c r="A901" s="18">
        <v>2004</v>
      </c>
      <c r="B901" s="18" t="s">
        <v>46</v>
      </c>
      <c r="C901" s="18">
        <v>0</v>
      </c>
      <c r="D901" s="18">
        <v>0</v>
      </c>
      <c r="E901" s="18">
        <v>0</v>
      </c>
    </row>
    <row r="902" spans="1:5" x14ac:dyDescent="0.25">
      <c r="A902" s="18">
        <v>2005</v>
      </c>
      <c r="B902" s="18" t="s">
        <v>46</v>
      </c>
      <c r="C902" s="18">
        <v>0</v>
      </c>
      <c r="D902" s="18">
        <v>0</v>
      </c>
      <c r="E902" s="18">
        <v>0</v>
      </c>
    </row>
    <row r="903" spans="1:5" x14ac:dyDescent="0.25">
      <c r="A903" s="18">
        <v>2006</v>
      </c>
      <c r="B903" s="18" t="s">
        <v>46</v>
      </c>
      <c r="C903" s="18">
        <v>0</v>
      </c>
      <c r="D903" s="18">
        <v>0</v>
      </c>
      <c r="E903" s="18">
        <v>0</v>
      </c>
    </row>
    <row r="904" spans="1:5" x14ac:dyDescent="0.25">
      <c r="A904" s="18">
        <v>2007</v>
      </c>
      <c r="B904" s="18" t="s">
        <v>46</v>
      </c>
      <c r="C904" s="18">
        <v>0</v>
      </c>
      <c r="D904" s="18">
        <v>0</v>
      </c>
      <c r="E904" s="18">
        <v>0</v>
      </c>
    </row>
    <row r="905" spans="1:5" x14ac:dyDescent="0.25">
      <c r="A905" s="18">
        <v>2008</v>
      </c>
      <c r="B905" s="18" t="s">
        <v>46</v>
      </c>
      <c r="C905" s="18">
        <v>0</v>
      </c>
      <c r="D905" s="18">
        <v>0</v>
      </c>
      <c r="E905" s="18">
        <v>0</v>
      </c>
    </row>
    <row r="906" spans="1:5" x14ac:dyDescent="0.25">
      <c r="A906" s="18">
        <v>1950</v>
      </c>
      <c r="B906" s="18" t="s">
        <v>101</v>
      </c>
      <c r="C906" s="18">
        <v>0</v>
      </c>
      <c r="D906" s="18">
        <v>0</v>
      </c>
      <c r="E906" s="18">
        <v>0</v>
      </c>
    </row>
    <row r="907" spans="1:5" x14ac:dyDescent="0.25">
      <c r="A907" s="18">
        <v>1951</v>
      </c>
      <c r="B907" s="18" t="s">
        <v>101</v>
      </c>
      <c r="C907" s="18">
        <v>0</v>
      </c>
      <c r="D907" s="18">
        <v>0</v>
      </c>
      <c r="E907" s="18">
        <v>0</v>
      </c>
    </row>
    <row r="908" spans="1:5" x14ac:dyDescent="0.25">
      <c r="A908" s="18">
        <v>1952</v>
      </c>
      <c r="B908" s="18" t="s">
        <v>101</v>
      </c>
      <c r="C908" s="18">
        <v>0</v>
      </c>
      <c r="D908" s="18">
        <v>0</v>
      </c>
      <c r="E908" s="18">
        <v>0</v>
      </c>
    </row>
    <row r="909" spans="1:5" x14ac:dyDescent="0.25">
      <c r="A909" s="18">
        <v>1953</v>
      </c>
      <c r="B909" s="18" t="s">
        <v>101</v>
      </c>
      <c r="C909" s="18">
        <v>0</v>
      </c>
      <c r="D909" s="18">
        <v>0</v>
      </c>
      <c r="E909" s="18">
        <v>0</v>
      </c>
    </row>
    <row r="910" spans="1:5" x14ac:dyDescent="0.25">
      <c r="A910" s="18">
        <v>1954</v>
      </c>
      <c r="B910" s="18" t="s">
        <v>101</v>
      </c>
      <c r="C910" s="18">
        <v>0</v>
      </c>
      <c r="D910" s="18">
        <v>0</v>
      </c>
      <c r="E910" s="18">
        <v>0</v>
      </c>
    </row>
    <row r="911" spans="1:5" x14ac:dyDescent="0.25">
      <c r="A911" s="18">
        <v>1955</v>
      </c>
      <c r="B911" s="18" t="s">
        <v>101</v>
      </c>
      <c r="C911" s="18">
        <v>0</v>
      </c>
      <c r="D911" s="18">
        <v>0</v>
      </c>
      <c r="E911" s="18">
        <v>0</v>
      </c>
    </row>
    <row r="912" spans="1:5" x14ac:dyDescent="0.25">
      <c r="A912" s="18">
        <v>1956</v>
      </c>
      <c r="B912" s="18" t="s">
        <v>101</v>
      </c>
      <c r="C912" s="18">
        <v>0</v>
      </c>
      <c r="D912" s="18">
        <v>0</v>
      </c>
      <c r="E912" s="18">
        <v>0</v>
      </c>
    </row>
    <row r="913" spans="1:5" x14ac:dyDescent="0.25">
      <c r="A913" s="18">
        <v>1957</v>
      </c>
      <c r="B913" s="18" t="s">
        <v>101</v>
      </c>
      <c r="C913" s="18">
        <v>0</v>
      </c>
      <c r="D913" s="18">
        <v>0</v>
      </c>
      <c r="E913" s="18">
        <v>0</v>
      </c>
    </row>
    <row r="914" spans="1:5" x14ac:dyDescent="0.25">
      <c r="A914" s="18">
        <v>1958</v>
      </c>
      <c r="B914" s="18" t="s">
        <v>101</v>
      </c>
      <c r="C914" s="18">
        <v>0</v>
      </c>
      <c r="D914" s="18">
        <v>0</v>
      </c>
      <c r="E914" s="18">
        <v>0</v>
      </c>
    </row>
    <row r="915" spans="1:5" x14ac:dyDescent="0.25">
      <c r="A915" s="18">
        <v>1959</v>
      </c>
      <c r="B915" s="18" t="s">
        <v>101</v>
      </c>
      <c r="C915" s="18">
        <v>0</v>
      </c>
      <c r="D915" s="18">
        <v>0</v>
      </c>
      <c r="E915" s="18">
        <v>0</v>
      </c>
    </row>
    <row r="916" spans="1:5" x14ac:dyDescent="0.25">
      <c r="A916" s="18">
        <v>1960</v>
      </c>
      <c r="B916" s="18" t="s">
        <v>101</v>
      </c>
      <c r="C916" s="18">
        <v>0</v>
      </c>
      <c r="D916" s="18">
        <v>0</v>
      </c>
      <c r="E916" s="18">
        <v>0</v>
      </c>
    </row>
    <row r="917" spans="1:5" x14ac:dyDescent="0.25">
      <c r="A917" s="18">
        <v>1961</v>
      </c>
      <c r="B917" s="18" t="s">
        <v>101</v>
      </c>
      <c r="C917" s="18">
        <v>0</v>
      </c>
      <c r="D917" s="18">
        <v>0</v>
      </c>
      <c r="E917" s="18">
        <v>0</v>
      </c>
    </row>
    <row r="918" spans="1:5" x14ac:dyDescent="0.25">
      <c r="A918" s="18">
        <v>1962</v>
      </c>
      <c r="B918" s="18" t="s">
        <v>101</v>
      </c>
      <c r="C918" s="18">
        <v>0</v>
      </c>
      <c r="D918" s="18">
        <v>0</v>
      </c>
      <c r="E918" s="18">
        <v>0</v>
      </c>
    </row>
    <row r="919" spans="1:5" x14ac:dyDescent="0.25">
      <c r="A919" s="18">
        <v>1963</v>
      </c>
      <c r="B919" s="18" t="s">
        <v>101</v>
      </c>
      <c r="C919" s="18">
        <v>0</v>
      </c>
      <c r="D919" s="18">
        <v>0</v>
      </c>
      <c r="E919" s="18">
        <v>0</v>
      </c>
    </row>
    <row r="920" spans="1:5" x14ac:dyDescent="0.25">
      <c r="A920" s="18">
        <v>1964</v>
      </c>
      <c r="B920" s="18" t="s">
        <v>101</v>
      </c>
      <c r="C920" s="18">
        <v>0</v>
      </c>
      <c r="D920" s="18">
        <v>0</v>
      </c>
      <c r="E920" s="18">
        <v>0</v>
      </c>
    </row>
    <row r="921" spans="1:5" x14ac:dyDescent="0.25">
      <c r="A921" s="18">
        <v>1965</v>
      </c>
      <c r="B921" s="18" t="s">
        <v>101</v>
      </c>
      <c r="C921" s="18">
        <v>0</v>
      </c>
      <c r="D921" s="18">
        <v>0</v>
      </c>
      <c r="E921" s="18">
        <v>0</v>
      </c>
    </row>
    <row r="922" spans="1:5" x14ac:dyDescent="0.25">
      <c r="A922" s="18">
        <v>1966</v>
      </c>
      <c r="B922" s="18" t="s">
        <v>101</v>
      </c>
      <c r="C922" s="18">
        <v>0</v>
      </c>
      <c r="D922" s="18">
        <v>0</v>
      </c>
      <c r="E922" s="18">
        <v>0</v>
      </c>
    </row>
    <row r="923" spans="1:5" x14ac:dyDescent="0.25">
      <c r="A923" s="18">
        <v>1967</v>
      </c>
      <c r="B923" s="18" t="s">
        <v>101</v>
      </c>
      <c r="C923" s="18">
        <v>0</v>
      </c>
      <c r="D923" s="18">
        <v>0</v>
      </c>
      <c r="E923" s="18">
        <v>0</v>
      </c>
    </row>
    <row r="924" spans="1:5" x14ac:dyDescent="0.25">
      <c r="A924" s="18">
        <v>1968</v>
      </c>
      <c r="B924" s="18" t="s">
        <v>101</v>
      </c>
      <c r="C924" s="18">
        <v>0</v>
      </c>
      <c r="D924" s="18">
        <v>0</v>
      </c>
      <c r="E924" s="18">
        <v>0</v>
      </c>
    </row>
    <row r="925" spans="1:5" x14ac:dyDescent="0.25">
      <c r="A925" s="18">
        <v>1969</v>
      </c>
      <c r="B925" s="18" t="s">
        <v>101</v>
      </c>
      <c r="C925" s="18">
        <v>0</v>
      </c>
      <c r="D925" s="18">
        <v>0</v>
      </c>
      <c r="E925" s="18">
        <v>0</v>
      </c>
    </row>
    <row r="926" spans="1:5" x14ac:dyDescent="0.25">
      <c r="A926" s="18">
        <v>1970</v>
      </c>
      <c r="B926" s="18" t="s">
        <v>101</v>
      </c>
      <c r="C926" s="18">
        <v>3097</v>
      </c>
      <c r="D926" s="18">
        <v>2898</v>
      </c>
      <c r="E926" s="18">
        <v>5994</v>
      </c>
    </row>
    <row r="927" spans="1:5" x14ac:dyDescent="0.25">
      <c r="A927" s="18">
        <v>1971</v>
      </c>
      <c r="B927" s="18" t="s">
        <v>101</v>
      </c>
      <c r="C927" s="18">
        <v>0</v>
      </c>
      <c r="D927" s="18">
        <v>0</v>
      </c>
      <c r="E927" s="18">
        <v>0</v>
      </c>
    </row>
    <row r="928" spans="1:5" x14ac:dyDescent="0.25">
      <c r="A928" s="18">
        <v>1972</v>
      </c>
      <c r="B928" s="18" t="s">
        <v>101</v>
      </c>
      <c r="C928" s="18">
        <v>0</v>
      </c>
      <c r="D928" s="18">
        <v>0</v>
      </c>
      <c r="E928" s="18">
        <v>0</v>
      </c>
    </row>
    <row r="929" spans="1:5" x14ac:dyDescent="0.25">
      <c r="A929" s="18">
        <v>1973</v>
      </c>
      <c r="B929" s="18" t="s">
        <v>101</v>
      </c>
      <c r="C929" s="18">
        <v>0</v>
      </c>
      <c r="D929" s="18">
        <v>0</v>
      </c>
      <c r="E929" s="18">
        <v>0</v>
      </c>
    </row>
    <row r="930" spans="1:5" x14ac:dyDescent="0.25">
      <c r="A930" s="18">
        <v>1974</v>
      </c>
      <c r="B930" s="18" t="s">
        <v>101</v>
      </c>
      <c r="C930" s="18">
        <v>0</v>
      </c>
      <c r="D930" s="18">
        <v>0</v>
      </c>
      <c r="E930" s="18">
        <v>0</v>
      </c>
    </row>
    <row r="931" spans="1:5" x14ac:dyDescent="0.25">
      <c r="A931" s="18">
        <v>1975</v>
      </c>
      <c r="B931" s="18" t="s">
        <v>101</v>
      </c>
      <c r="C931" s="18">
        <v>3318</v>
      </c>
      <c r="D931" s="18">
        <v>3455</v>
      </c>
      <c r="E931" s="18">
        <v>6773</v>
      </c>
    </row>
    <row r="932" spans="1:5" x14ac:dyDescent="0.25">
      <c r="A932" s="18">
        <v>1976</v>
      </c>
      <c r="B932" s="18" t="s">
        <v>101</v>
      </c>
      <c r="C932" s="18">
        <v>0</v>
      </c>
      <c r="D932" s="18">
        <v>0</v>
      </c>
      <c r="E932" s="18">
        <v>0</v>
      </c>
    </row>
    <row r="933" spans="1:5" x14ac:dyDescent="0.25">
      <c r="A933" s="18">
        <v>1977</v>
      </c>
      <c r="B933" s="18" t="s">
        <v>101</v>
      </c>
      <c r="C933" s="18">
        <v>0</v>
      </c>
      <c r="D933" s="18">
        <v>0</v>
      </c>
      <c r="E933" s="18">
        <v>0</v>
      </c>
    </row>
    <row r="934" spans="1:5" x14ac:dyDescent="0.25">
      <c r="A934" s="18">
        <v>1978</v>
      </c>
      <c r="B934" s="18" t="s">
        <v>101</v>
      </c>
      <c r="C934" s="18">
        <v>0</v>
      </c>
      <c r="D934" s="18">
        <v>0</v>
      </c>
      <c r="E934" s="18">
        <v>0</v>
      </c>
    </row>
    <row r="935" spans="1:5" x14ac:dyDescent="0.25">
      <c r="A935" s="18">
        <v>1979</v>
      </c>
      <c r="B935" s="18" t="s">
        <v>101</v>
      </c>
      <c r="C935" s="18">
        <v>0</v>
      </c>
      <c r="D935" s="18">
        <v>0</v>
      </c>
      <c r="E935" s="18">
        <v>0</v>
      </c>
    </row>
    <row r="936" spans="1:5" x14ac:dyDescent="0.25">
      <c r="A936" s="18">
        <v>1980</v>
      </c>
      <c r="B936" s="18" t="s">
        <v>101</v>
      </c>
      <c r="C936" s="18">
        <v>3694</v>
      </c>
      <c r="D936" s="18">
        <v>3819</v>
      </c>
      <c r="E936" s="18">
        <v>7513</v>
      </c>
    </row>
    <row r="937" spans="1:5" x14ac:dyDescent="0.25">
      <c r="A937" s="18">
        <v>1981</v>
      </c>
      <c r="B937" s="18" t="s">
        <v>101</v>
      </c>
      <c r="C937" s="18">
        <v>0</v>
      </c>
      <c r="D937" s="18">
        <v>0</v>
      </c>
      <c r="E937" s="18">
        <v>0</v>
      </c>
    </row>
    <row r="938" spans="1:5" x14ac:dyDescent="0.25">
      <c r="A938" s="18">
        <v>1982</v>
      </c>
      <c r="B938" s="18" t="s">
        <v>101</v>
      </c>
      <c r="C938" s="18">
        <v>0</v>
      </c>
      <c r="D938" s="18">
        <v>0</v>
      </c>
      <c r="E938" s="18">
        <v>0</v>
      </c>
    </row>
    <row r="939" spans="1:5" x14ac:dyDescent="0.25">
      <c r="A939" s="18">
        <v>1983</v>
      </c>
      <c r="B939" s="18" t="s">
        <v>101</v>
      </c>
      <c r="C939" s="18">
        <v>0</v>
      </c>
      <c r="D939" s="18">
        <v>0</v>
      </c>
      <c r="E939" s="18">
        <v>0</v>
      </c>
    </row>
    <row r="940" spans="1:5" x14ac:dyDescent="0.25">
      <c r="A940" s="18">
        <v>1984</v>
      </c>
      <c r="B940" s="18" t="s">
        <v>101</v>
      </c>
      <c r="C940" s="18">
        <v>0</v>
      </c>
      <c r="D940" s="18">
        <v>0</v>
      </c>
      <c r="E940" s="18">
        <v>0</v>
      </c>
    </row>
    <row r="941" spans="1:5" x14ac:dyDescent="0.25">
      <c r="A941" s="18">
        <v>1985</v>
      </c>
      <c r="B941" s="18" t="s">
        <v>101</v>
      </c>
      <c r="C941" s="18">
        <v>3444</v>
      </c>
      <c r="D941" s="18">
        <v>3612</v>
      </c>
      <c r="E941" s="18">
        <v>7056</v>
      </c>
    </row>
    <row r="942" spans="1:5" x14ac:dyDescent="0.25">
      <c r="A942" s="18">
        <v>1986</v>
      </c>
      <c r="B942" s="18" t="s">
        <v>101</v>
      </c>
      <c r="C942" s="18">
        <v>0</v>
      </c>
      <c r="D942" s="18">
        <v>0</v>
      </c>
      <c r="E942" s="18">
        <v>0</v>
      </c>
    </row>
    <row r="943" spans="1:5" x14ac:dyDescent="0.25">
      <c r="A943" s="18">
        <v>1987</v>
      </c>
      <c r="B943" s="18" t="s">
        <v>101</v>
      </c>
      <c r="C943" s="18">
        <v>0</v>
      </c>
      <c r="D943" s="18">
        <v>0</v>
      </c>
      <c r="E943" s="18">
        <v>0</v>
      </c>
    </row>
    <row r="944" spans="1:5" x14ac:dyDescent="0.25">
      <c r="A944" s="18">
        <v>1988</v>
      </c>
      <c r="B944" s="18" t="s">
        <v>101</v>
      </c>
      <c r="C944" s="18">
        <v>0</v>
      </c>
      <c r="D944" s="18">
        <v>0</v>
      </c>
      <c r="E944" s="18">
        <v>0</v>
      </c>
    </row>
    <row r="945" spans="1:5" x14ac:dyDescent="0.25">
      <c r="A945" s="18">
        <v>1989</v>
      </c>
      <c r="B945" s="18" t="s">
        <v>101</v>
      </c>
      <c r="C945" s="18">
        <v>0</v>
      </c>
      <c r="D945" s="18">
        <v>0</v>
      </c>
      <c r="E945" s="18">
        <v>0</v>
      </c>
    </row>
    <row r="946" spans="1:5" x14ac:dyDescent="0.25">
      <c r="A946" s="18">
        <v>1990</v>
      </c>
      <c r="B946" s="18" t="s">
        <v>101</v>
      </c>
      <c r="C946" s="18">
        <v>3888</v>
      </c>
      <c r="D946" s="18">
        <v>4107</v>
      </c>
      <c r="E946" s="18">
        <v>7995</v>
      </c>
    </row>
    <row r="947" spans="1:5" x14ac:dyDescent="0.25">
      <c r="A947" s="18">
        <v>1991</v>
      </c>
      <c r="B947" s="18" t="s">
        <v>101</v>
      </c>
      <c r="C947" s="18">
        <v>0</v>
      </c>
      <c r="D947" s="18">
        <v>0</v>
      </c>
      <c r="E947" s="18">
        <v>0</v>
      </c>
    </row>
    <row r="948" spans="1:5" x14ac:dyDescent="0.25">
      <c r="A948" s="18">
        <v>1992</v>
      </c>
      <c r="B948" s="18" t="s">
        <v>101</v>
      </c>
      <c r="C948" s="18">
        <v>0</v>
      </c>
      <c r="D948" s="18">
        <v>0</v>
      </c>
      <c r="E948" s="18">
        <v>0</v>
      </c>
    </row>
    <row r="949" spans="1:5" x14ac:dyDescent="0.25">
      <c r="A949" s="18">
        <v>1993</v>
      </c>
      <c r="B949" s="18" t="s">
        <v>101</v>
      </c>
      <c r="C949" s="18">
        <v>0</v>
      </c>
      <c r="D949" s="18">
        <v>0</v>
      </c>
      <c r="E949" s="18">
        <v>0</v>
      </c>
    </row>
    <row r="950" spans="1:5" x14ac:dyDescent="0.25">
      <c r="A950" s="18">
        <v>1994</v>
      </c>
      <c r="B950" s="18" t="s">
        <v>101</v>
      </c>
      <c r="C950" s="18">
        <v>0</v>
      </c>
      <c r="D950" s="18">
        <v>0</v>
      </c>
      <c r="E950" s="18">
        <v>0</v>
      </c>
    </row>
    <row r="951" spans="1:5" x14ac:dyDescent="0.25">
      <c r="A951" s="18">
        <v>1995</v>
      </c>
      <c r="B951" s="18" t="s">
        <v>101</v>
      </c>
      <c r="C951" s="18">
        <v>0</v>
      </c>
      <c r="D951" s="18">
        <v>0</v>
      </c>
      <c r="E951" s="18">
        <v>0</v>
      </c>
    </row>
    <row r="952" spans="1:5" x14ac:dyDescent="0.25">
      <c r="A952" s="18">
        <v>1996</v>
      </c>
      <c r="B952" s="18" t="s">
        <v>101</v>
      </c>
      <c r="C952" s="18">
        <v>0</v>
      </c>
      <c r="D952" s="18">
        <v>0</v>
      </c>
      <c r="E952" s="18">
        <v>0</v>
      </c>
    </row>
    <row r="953" spans="1:5" x14ac:dyDescent="0.25">
      <c r="A953" s="18">
        <v>1997</v>
      </c>
      <c r="B953" s="18" t="s">
        <v>101</v>
      </c>
      <c r="C953" s="18">
        <v>0</v>
      </c>
      <c r="D953" s="18">
        <v>0</v>
      </c>
      <c r="E953" s="18">
        <v>0</v>
      </c>
    </row>
    <row r="954" spans="1:5" x14ac:dyDescent="0.25">
      <c r="A954" s="18">
        <v>1998</v>
      </c>
      <c r="B954" s="18" t="s">
        <v>101</v>
      </c>
      <c r="C954" s="18">
        <v>0</v>
      </c>
      <c r="D954" s="18">
        <v>0</v>
      </c>
      <c r="E954" s="18">
        <v>0</v>
      </c>
    </row>
    <row r="955" spans="1:5" x14ac:dyDescent="0.25">
      <c r="A955" s="18">
        <v>1999</v>
      </c>
      <c r="B955" s="18" t="s">
        <v>101</v>
      </c>
      <c r="C955" s="18">
        <v>0</v>
      </c>
      <c r="D955" s="18">
        <v>0</v>
      </c>
      <c r="E955" s="18">
        <v>0</v>
      </c>
    </row>
    <row r="956" spans="1:5" x14ac:dyDescent="0.25">
      <c r="A956" s="18">
        <v>2000</v>
      </c>
      <c r="B956" s="18" t="s">
        <v>101</v>
      </c>
      <c r="C956" s="18">
        <v>3688</v>
      </c>
      <c r="D956" s="18">
        <v>3875</v>
      </c>
      <c r="E956" s="18">
        <v>7562</v>
      </c>
    </row>
    <row r="957" spans="1:5" x14ac:dyDescent="0.25">
      <c r="A957" s="18">
        <v>2001</v>
      </c>
      <c r="B957" s="18" t="s">
        <v>101</v>
      </c>
      <c r="C957" s="18">
        <v>0</v>
      </c>
      <c r="D957" s="18">
        <v>0</v>
      </c>
      <c r="E957" s="18">
        <v>0</v>
      </c>
    </row>
    <row r="958" spans="1:5" x14ac:dyDescent="0.25">
      <c r="A958" s="18">
        <v>2002</v>
      </c>
      <c r="B958" s="18" t="s">
        <v>101</v>
      </c>
      <c r="C958" s="18">
        <v>0</v>
      </c>
      <c r="D958" s="18">
        <v>0</v>
      </c>
      <c r="E958" s="18">
        <v>0</v>
      </c>
    </row>
    <row r="959" spans="1:5" x14ac:dyDescent="0.25">
      <c r="A959" s="18">
        <v>2003</v>
      </c>
      <c r="B959" s="18" t="s">
        <v>101</v>
      </c>
      <c r="C959" s="18">
        <v>0</v>
      </c>
      <c r="D959" s="18">
        <v>0</v>
      </c>
      <c r="E959" s="18">
        <v>0</v>
      </c>
    </row>
    <row r="960" spans="1:5" x14ac:dyDescent="0.25">
      <c r="A960" s="18">
        <v>2004</v>
      </c>
      <c r="B960" s="18" t="s">
        <v>101</v>
      </c>
      <c r="C960" s="18">
        <v>0</v>
      </c>
      <c r="D960" s="18">
        <v>0</v>
      </c>
      <c r="E960" s="18">
        <v>0</v>
      </c>
    </row>
    <row r="961" spans="1:5" x14ac:dyDescent="0.25">
      <c r="A961" s="18">
        <v>2005</v>
      </c>
      <c r="B961" s="18" t="s">
        <v>101</v>
      </c>
      <c r="C961" s="18">
        <v>0</v>
      </c>
      <c r="D961" s="18">
        <v>0</v>
      </c>
      <c r="E961" s="18">
        <v>0</v>
      </c>
    </row>
    <row r="962" spans="1:5" x14ac:dyDescent="0.25">
      <c r="A962" s="18">
        <v>2006</v>
      </c>
      <c r="B962" s="18" t="s">
        <v>101</v>
      </c>
      <c r="C962" s="18">
        <v>0</v>
      </c>
      <c r="D962" s="18">
        <v>0</v>
      </c>
      <c r="E962" s="18">
        <v>0</v>
      </c>
    </row>
    <row r="963" spans="1:5" x14ac:dyDescent="0.25">
      <c r="A963" s="18">
        <v>2007</v>
      </c>
      <c r="B963" s="18" t="s">
        <v>101</v>
      </c>
      <c r="C963" s="18">
        <v>0</v>
      </c>
      <c r="D963" s="18">
        <v>0</v>
      </c>
      <c r="E963" s="18">
        <v>0</v>
      </c>
    </row>
    <row r="964" spans="1:5" x14ac:dyDescent="0.25">
      <c r="A964" s="18">
        <v>2008</v>
      </c>
      <c r="B964" s="18" t="s">
        <v>101</v>
      </c>
      <c r="C964" s="18">
        <v>0</v>
      </c>
      <c r="D964" s="18">
        <v>0</v>
      </c>
      <c r="E964" s="18">
        <v>0</v>
      </c>
    </row>
    <row r="965" spans="1:5" x14ac:dyDescent="0.25">
      <c r="A965" s="18">
        <v>1950</v>
      </c>
      <c r="B965" s="18" t="s">
        <v>49</v>
      </c>
      <c r="C965" s="18">
        <v>0</v>
      </c>
      <c r="D965" s="18">
        <v>0</v>
      </c>
      <c r="E965" s="18">
        <v>0</v>
      </c>
    </row>
    <row r="966" spans="1:5" x14ac:dyDescent="0.25">
      <c r="A966" s="18">
        <v>1951</v>
      </c>
      <c r="B966" s="18" t="s">
        <v>49</v>
      </c>
      <c r="C966" s="18">
        <v>0</v>
      </c>
      <c r="D966" s="18">
        <v>0</v>
      </c>
      <c r="E966" s="18">
        <v>0</v>
      </c>
    </row>
    <row r="967" spans="1:5" x14ac:dyDescent="0.25">
      <c r="A967" s="18">
        <v>1952</v>
      </c>
      <c r="B967" s="18" t="s">
        <v>49</v>
      </c>
      <c r="C967" s="18">
        <v>0</v>
      </c>
      <c r="D967" s="18">
        <v>0</v>
      </c>
      <c r="E967" s="18">
        <v>0</v>
      </c>
    </row>
    <row r="968" spans="1:5" x14ac:dyDescent="0.25">
      <c r="A968" s="18">
        <v>1953</v>
      </c>
      <c r="B968" s="18" t="s">
        <v>49</v>
      </c>
      <c r="C968" s="18">
        <v>0</v>
      </c>
      <c r="D968" s="18">
        <v>0</v>
      </c>
      <c r="E968" s="18">
        <v>0</v>
      </c>
    </row>
    <row r="969" spans="1:5" x14ac:dyDescent="0.25">
      <c r="A969" s="18">
        <v>1954</v>
      </c>
      <c r="B969" s="18" t="s">
        <v>49</v>
      </c>
      <c r="C969" s="18">
        <v>0</v>
      </c>
      <c r="D969" s="18">
        <v>0</v>
      </c>
      <c r="E969" s="18">
        <v>0</v>
      </c>
    </row>
    <row r="970" spans="1:5" x14ac:dyDescent="0.25">
      <c r="A970" s="18">
        <v>1955</v>
      </c>
      <c r="B970" s="18" t="s">
        <v>49</v>
      </c>
      <c r="C970" s="18">
        <v>0</v>
      </c>
      <c r="D970" s="18">
        <v>0</v>
      </c>
      <c r="E970" s="18">
        <v>0</v>
      </c>
    </row>
    <row r="971" spans="1:5" x14ac:dyDescent="0.25">
      <c r="A971" s="18">
        <v>1956</v>
      </c>
      <c r="B971" s="18" t="s">
        <v>49</v>
      </c>
      <c r="C971" s="18">
        <v>0</v>
      </c>
      <c r="D971" s="18">
        <v>0</v>
      </c>
      <c r="E971" s="18">
        <v>0</v>
      </c>
    </row>
    <row r="972" spans="1:5" x14ac:dyDescent="0.25">
      <c r="A972" s="18">
        <v>1957</v>
      </c>
      <c r="B972" s="18" t="s">
        <v>49</v>
      </c>
      <c r="C972" s="18">
        <v>0</v>
      </c>
      <c r="D972" s="18">
        <v>0</v>
      </c>
      <c r="E972" s="18">
        <v>0</v>
      </c>
    </row>
    <row r="973" spans="1:5" x14ac:dyDescent="0.25">
      <c r="A973" s="18">
        <v>1958</v>
      </c>
      <c r="B973" s="18" t="s">
        <v>49</v>
      </c>
      <c r="C973" s="18">
        <v>0</v>
      </c>
      <c r="D973" s="18">
        <v>0</v>
      </c>
      <c r="E973" s="18">
        <v>0</v>
      </c>
    </row>
    <row r="974" spans="1:5" x14ac:dyDescent="0.25">
      <c r="A974" s="18">
        <v>1959</v>
      </c>
      <c r="B974" s="18" t="s">
        <v>49</v>
      </c>
      <c r="C974" s="18">
        <v>0</v>
      </c>
      <c r="D974" s="18">
        <v>0</v>
      </c>
      <c r="E974" s="18">
        <v>0</v>
      </c>
    </row>
    <row r="975" spans="1:5" x14ac:dyDescent="0.25">
      <c r="A975" s="18">
        <v>1960</v>
      </c>
      <c r="B975" s="18" t="s">
        <v>49</v>
      </c>
      <c r="C975" s="18">
        <v>0</v>
      </c>
      <c r="D975" s="18">
        <v>0</v>
      </c>
      <c r="E975" s="18">
        <v>0</v>
      </c>
    </row>
    <row r="976" spans="1:5" x14ac:dyDescent="0.25">
      <c r="A976" s="18">
        <v>1961</v>
      </c>
      <c r="B976" s="18" t="s">
        <v>49</v>
      </c>
      <c r="C976" s="18">
        <v>0</v>
      </c>
      <c r="D976" s="18">
        <v>0</v>
      </c>
      <c r="E976" s="18">
        <v>0</v>
      </c>
    </row>
    <row r="977" spans="1:5" x14ac:dyDescent="0.25">
      <c r="A977" s="18">
        <v>1962</v>
      </c>
      <c r="B977" s="18" t="s">
        <v>49</v>
      </c>
      <c r="C977" s="18">
        <v>0</v>
      </c>
      <c r="D977" s="18">
        <v>0</v>
      </c>
      <c r="E977" s="18">
        <v>0</v>
      </c>
    </row>
    <row r="978" spans="1:5" x14ac:dyDescent="0.25">
      <c r="A978" s="18">
        <v>1963</v>
      </c>
      <c r="B978" s="18" t="s">
        <v>49</v>
      </c>
      <c r="C978" s="18">
        <v>0</v>
      </c>
      <c r="D978" s="18">
        <v>0</v>
      </c>
      <c r="E978" s="18">
        <v>0</v>
      </c>
    </row>
    <row r="979" spans="1:5" x14ac:dyDescent="0.25">
      <c r="A979" s="18">
        <v>1964</v>
      </c>
      <c r="B979" s="18" t="s">
        <v>49</v>
      </c>
      <c r="C979" s="18">
        <v>0</v>
      </c>
      <c r="D979" s="18">
        <v>0</v>
      </c>
      <c r="E979" s="18">
        <v>0</v>
      </c>
    </row>
    <row r="980" spans="1:5" x14ac:dyDescent="0.25">
      <c r="A980" s="18">
        <v>1965</v>
      </c>
      <c r="B980" s="18" t="s">
        <v>49</v>
      </c>
      <c r="C980" s="18">
        <v>0</v>
      </c>
      <c r="D980" s="18">
        <v>0</v>
      </c>
      <c r="E980" s="18">
        <v>0</v>
      </c>
    </row>
    <row r="981" spans="1:5" x14ac:dyDescent="0.25">
      <c r="A981" s="18">
        <v>1966</v>
      </c>
      <c r="B981" s="18" t="s">
        <v>49</v>
      </c>
      <c r="C981" s="18">
        <v>0</v>
      </c>
      <c r="D981" s="18">
        <v>0</v>
      </c>
      <c r="E981" s="18">
        <v>0</v>
      </c>
    </row>
    <row r="982" spans="1:5" x14ac:dyDescent="0.25">
      <c r="A982" s="18">
        <v>1967</v>
      </c>
      <c r="B982" s="18" t="s">
        <v>49</v>
      </c>
      <c r="C982" s="18">
        <v>0</v>
      </c>
      <c r="D982" s="18">
        <v>0</v>
      </c>
      <c r="E982" s="18">
        <v>0</v>
      </c>
    </row>
    <row r="983" spans="1:5" x14ac:dyDescent="0.25">
      <c r="A983" s="18">
        <v>1968</v>
      </c>
      <c r="B983" s="18" t="s">
        <v>49</v>
      </c>
      <c r="C983" s="18">
        <v>0</v>
      </c>
      <c r="D983" s="18">
        <v>0</v>
      </c>
      <c r="E983" s="18">
        <v>0</v>
      </c>
    </row>
    <row r="984" spans="1:5" x14ac:dyDescent="0.25">
      <c r="A984" s="18">
        <v>1969</v>
      </c>
      <c r="B984" s="18" t="s">
        <v>49</v>
      </c>
      <c r="C984" s="18">
        <v>0</v>
      </c>
      <c r="D984" s="18">
        <v>0</v>
      </c>
      <c r="E984" s="18">
        <v>0</v>
      </c>
    </row>
    <row r="985" spans="1:5" x14ac:dyDescent="0.25">
      <c r="A985" s="18">
        <v>1970</v>
      </c>
      <c r="B985" s="18" t="s">
        <v>49</v>
      </c>
      <c r="C985" s="18">
        <v>0</v>
      </c>
      <c r="D985" s="18">
        <v>0</v>
      </c>
      <c r="E985" s="18">
        <v>0</v>
      </c>
    </row>
    <row r="986" spans="1:5" x14ac:dyDescent="0.25">
      <c r="A986" s="18">
        <v>1971</v>
      </c>
      <c r="B986" s="18" t="s">
        <v>49</v>
      </c>
      <c r="C986" s="18">
        <v>0</v>
      </c>
      <c r="D986" s="18">
        <v>0</v>
      </c>
      <c r="E986" s="18">
        <v>0</v>
      </c>
    </row>
    <row r="987" spans="1:5" x14ac:dyDescent="0.25">
      <c r="A987" s="18">
        <v>1972</v>
      </c>
      <c r="B987" s="18" t="s">
        <v>49</v>
      </c>
      <c r="C987" s="18">
        <v>0</v>
      </c>
      <c r="D987" s="18">
        <v>0</v>
      </c>
      <c r="E987" s="18">
        <v>0</v>
      </c>
    </row>
    <row r="988" spans="1:5" x14ac:dyDescent="0.25">
      <c r="A988" s="18">
        <v>1973</v>
      </c>
      <c r="B988" s="18" t="s">
        <v>49</v>
      </c>
      <c r="C988" s="18">
        <v>0</v>
      </c>
      <c r="D988" s="18">
        <v>0</v>
      </c>
      <c r="E988" s="18">
        <v>0</v>
      </c>
    </row>
    <row r="989" spans="1:5" x14ac:dyDescent="0.25">
      <c r="A989" s="18">
        <v>1974</v>
      </c>
      <c r="B989" s="18" t="s">
        <v>49</v>
      </c>
      <c r="C989" s="18">
        <v>0</v>
      </c>
      <c r="D989" s="18">
        <v>0</v>
      </c>
      <c r="E989" s="18">
        <v>0</v>
      </c>
    </row>
    <row r="990" spans="1:5" x14ac:dyDescent="0.25">
      <c r="A990" s="18">
        <v>1975</v>
      </c>
      <c r="B990" s="18" t="s">
        <v>49</v>
      </c>
      <c r="C990" s="18">
        <v>1924</v>
      </c>
      <c r="D990" s="18">
        <v>2120</v>
      </c>
      <c r="E990" s="18">
        <v>4045</v>
      </c>
    </row>
    <row r="991" spans="1:5" x14ac:dyDescent="0.25">
      <c r="A991" s="18">
        <v>1976</v>
      </c>
      <c r="B991" s="18" t="s">
        <v>49</v>
      </c>
      <c r="C991" s="18">
        <v>0</v>
      </c>
      <c r="D991" s="18">
        <v>0</v>
      </c>
      <c r="E991" s="18">
        <v>0</v>
      </c>
    </row>
    <row r="992" spans="1:5" x14ac:dyDescent="0.25">
      <c r="A992" s="18">
        <v>1977</v>
      </c>
      <c r="B992" s="18" t="s">
        <v>49</v>
      </c>
      <c r="C992" s="18">
        <v>0</v>
      </c>
      <c r="D992" s="18">
        <v>0</v>
      </c>
      <c r="E992" s="18">
        <v>0</v>
      </c>
    </row>
    <row r="993" spans="1:5" x14ac:dyDescent="0.25">
      <c r="A993" s="18">
        <v>1978</v>
      </c>
      <c r="B993" s="18" t="s">
        <v>49</v>
      </c>
      <c r="C993" s="18">
        <v>0</v>
      </c>
      <c r="D993" s="18">
        <v>0</v>
      </c>
      <c r="E993" s="18">
        <v>0</v>
      </c>
    </row>
    <row r="994" spans="1:5" x14ac:dyDescent="0.25">
      <c r="A994" s="18">
        <v>1979</v>
      </c>
      <c r="B994" s="18" t="s">
        <v>49</v>
      </c>
      <c r="C994" s="18">
        <v>0</v>
      </c>
      <c r="D994" s="18">
        <v>0</v>
      </c>
      <c r="E994" s="18">
        <v>0</v>
      </c>
    </row>
    <row r="995" spans="1:5" x14ac:dyDescent="0.25">
      <c r="A995" s="18">
        <v>1980</v>
      </c>
      <c r="B995" s="18" t="s">
        <v>49</v>
      </c>
      <c r="C995" s="18">
        <v>1343</v>
      </c>
      <c r="D995" s="18">
        <v>1498</v>
      </c>
      <c r="E995" s="18">
        <v>2841</v>
      </c>
    </row>
    <row r="996" spans="1:5" x14ac:dyDescent="0.25">
      <c r="A996" s="18">
        <v>1981</v>
      </c>
      <c r="B996" s="18" t="s">
        <v>49</v>
      </c>
      <c r="C996" s="18">
        <v>0</v>
      </c>
      <c r="D996" s="18">
        <v>0</v>
      </c>
      <c r="E996" s="18">
        <v>0</v>
      </c>
    </row>
    <row r="997" spans="1:5" x14ac:dyDescent="0.25">
      <c r="A997" s="18">
        <v>1982</v>
      </c>
      <c r="B997" s="18" t="s">
        <v>49</v>
      </c>
      <c r="C997" s="18">
        <v>0</v>
      </c>
      <c r="D997" s="18">
        <v>0</v>
      </c>
      <c r="E997" s="18">
        <v>0</v>
      </c>
    </row>
    <row r="998" spans="1:5" x14ac:dyDescent="0.25">
      <c r="A998" s="18">
        <v>1983</v>
      </c>
      <c r="B998" s="18" t="s">
        <v>49</v>
      </c>
      <c r="C998" s="18">
        <v>0</v>
      </c>
      <c r="D998" s="18">
        <v>0</v>
      </c>
      <c r="E998" s="18">
        <v>0</v>
      </c>
    </row>
    <row r="999" spans="1:5" x14ac:dyDescent="0.25">
      <c r="A999" s="18">
        <v>1984</v>
      </c>
      <c r="B999" s="18" t="s">
        <v>49</v>
      </c>
      <c r="C999" s="18">
        <v>0</v>
      </c>
      <c r="D999" s="18">
        <v>0</v>
      </c>
      <c r="E999" s="18">
        <v>0</v>
      </c>
    </row>
    <row r="1000" spans="1:5" x14ac:dyDescent="0.25">
      <c r="A1000" s="18">
        <v>1985</v>
      </c>
      <c r="B1000" s="18" t="s">
        <v>49</v>
      </c>
      <c r="C1000" s="18">
        <v>1365</v>
      </c>
      <c r="D1000" s="18">
        <v>1382</v>
      </c>
      <c r="E1000" s="18">
        <v>2747</v>
      </c>
    </row>
    <row r="1001" spans="1:5" x14ac:dyDescent="0.25">
      <c r="A1001" s="18">
        <v>1986</v>
      </c>
      <c r="B1001" s="18" t="s">
        <v>49</v>
      </c>
      <c r="C1001" s="18">
        <v>0</v>
      </c>
      <c r="D1001" s="18">
        <v>0</v>
      </c>
      <c r="E1001" s="18">
        <v>0</v>
      </c>
    </row>
    <row r="1002" spans="1:5" x14ac:dyDescent="0.25">
      <c r="A1002" s="18">
        <v>1987</v>
      </c>
      <c r="B1002" s="18" t="s">
        <v>49</v>
      </c>
      <c r="C1002" s="18">
        <v>0</v>
      </c>
      <c r="D1002" s="18">
        <v>0</v>
      </c>
      <c r="E1002" s="18">
        <v>0</v>
      </c>
    </row>
    <row r="1003" spans="1:5" x14ac:dyDescent="0.25">
      <c r="A1003" s="18">
        <v>1988</v>
      </c>
      <c r="B1003" s="18" t="s">
        <v>49</v>
      </c>
      <c r="C1003" s="18">
        <v>0</v>
      </c>
      <c r="D1003" s="18">
        <v>0</v>
      </c>
      <c r="E1003" s="18">
        <v>0</v>
      </c>
    </row>
    <row r="1004" spans="1:5" x14ac:dyDescent="0.25">
      <c r="A1004" s="18">
        <v>1989</v>
      </c>
      <c r="B1004" s="18" t="s">
        <v>49</v>
      </c>
      <c r="C1004" s="18">
        <v>0</v>
      </c>
      <c r="D1004" s="18">
        <v>0</v>
      </c>
      <c r="E1004" s="18">
        <v>0</v>
      </c>
    </row>
    <row r="1005" spans="1:5" x14ac:dyDescent="0.25">
      <c r="A1005" s="18">
        <v>1990</v>
      </c>
      <c r="B1005" s="18" t="s">
        <v>49</v>
      </c>
      <c r="C1005" s="18">
        <v>1661</v>
      </c>
      <c r="D1005" s="18">
        <v>1715</v>
      </c>
      <c r="E1005" s="18">
        <v>3375</v>
      </c>
    </row>
    <row r="1006" spans="1:5" x14ac:dyDescent="0.25">
      <c r="A1006" s="18">
        <v>1991</v>
      </c>
      <c r="B1006" s="18" t="s">
        <v>49</v>
      </c>
      <c r="C1006" s="18">
        <v>0</v>
      </c>
      <c r="D1006" s="18">
        <v>0</v>
      </c>
      <c r="E1006" s="18">
        <v>0</v>
      </c>
    </row>
    <row r="1007" spans="1:5" x14ac:dyDescent="0.25">
      <c r="A1007" s="18">
        <v>1992</v>
      </c>
      <c r="B1007" s="18" t="s">
        <v>49</v>
      </c>
      <c r="C1007" s="18">
        <v>0</v>
      </c>
      <c r="D1007" s="18">
        <v>0</v>
      </c>
      <c r="E1007" s="18">
        <v>0</v>
      </c>
    </row>
    <row r="1008" spans="1:5" x14ac:dyDescent="0.25">
      <c r="A1008" s="18">
        <v>1993</v>
      </c>
      <c r="B1008" s="18" t="s">
        <v>49</v>
      </c>
      <c r="C1008" s="18">
        <v>0</v>
      </c>
      <c r="D1008" s="18">
        <v>0</v>
      </c>
      <c r="E1008" s="18">
        <v>0</v>
      </c>
    </row>
    <row r="1009" spans="1:5" x14ac:dyDescent="0.25">
      <c r="A1009" s="18">
        <v>1994</v>
      </c>
      <c r="B1009" s="18" t="s">
        <v>49</v>
      </c>
      <c r="C1009" s="18">
        <v>0</v>
      </c>
      <c r="D1009" s="18">
        <v>0</v>
      </c>
      <c r="E1009" s="18">
        <v>0</v>
      </c>
    </row>
    <row r="1010" spans="1:5" x14ac:dyDescent="0.25">
      <c r="A1010" s="18">
        <v>1995</v>
      </c>
      <c r="B1010" s="18" t="s">
        <v>49</v>
      </c>
      <c r="C1010" s="18">
        <v>0</v>
      </c>
      <c r="D1010" s="18">
        <v>0</v>
      </c>
      <c r="E1010" s="18">
        <v>0</v>
      </c>
    </row>
    <row r="1011" spans="1:5" x14ac:dyDescent="0.25">
      <c r="A1011" s="18">
        <v>1996</v>
      </c>
      <c r="B1011" s="18" t="s">
        <v>49</v>
      </c>
      <c r="C1011" s="18">
        <v>0</v>
      </c>
      <c r="D1011" s="18">
        <v>0</v>
      </c>
      <c r="E1011" s="18">
        <v>0</v>
      </c>
    </row>
    <row r="1012" spans="1:5" x14ac:dyDescent="0.25">
      <c r="A1012" s="18">
        <v>1997</v>
      </c>
      <c r="B1012" s="18" t="s">
        <v>49</v>
      </c>
      <c r="C1012" s="18">
        <v>0</v>
      </c>
      <c r="D1012" s="18">
        <v>0</v>
      </c>
      <c r="E1012" s="18">
        <v>0</v>
      </c>
    </row>
    <row r="1013" spans="1:5" x14ac:dyDescent="0.25">
      <c r="A1013" s="18">
        <v>1998</v>
      </c>
      <c r="B1013" s="18" t="s">
        <v>49</v>
      </c>
      <c r="C1013" s="18">
        <v>0</v>
      </c>
      <c r="D1013" s="18">
        <v>0</v>
      </c>
      <c r="E1013" s="18">
        <v>0</v>
      </c>
    </row>
    <row r="1014" spans="1:5" x14ac:dyDescent="0.25">
      <c r="A1014" s="18">
        <v>1999</v>
      </c>
      <c r="B1014" s="18" t="s">
        <v>49</v>
      </c>
      <c r="C1014" s="18">
        <v>0</v>
      </c>
      <c r="D1014" s="18">
        <v>0</v>
      </c>
      <c r="E1014" s="18">
        <v>0</v>
      </c>
    </row>
    <row r="1015" spans="1:5" x14ac:dyDescent="0.25">
      <c r="A1015" s="18">
        <v>2000</v>
      </c>
      <c r="B1015" s="18" t="s">
        <v>49</v>
      </c>
      <c r="C1015" s="18">
        <v>2021</v>
      </c>
      <c r="D1015" s="18">
        <v>2263</v>
      </c>
      <c r="E1015" s="18">
        <v>4284</v>
      </c>
    </row>
    <row r="1016" spans="1:5" x14ac:dyDescent="0.25">
      <c r="A1016" s="18">
        <v>2001</v>
      </c>
      <c r="B1016" s="18" t="s">
        <v>49</v>
      </c>
      <c r="C1016" s="18">
        <v>0</v>
      </c>
      <c r="D1016" s="18">
        <v>0</v>
      </c>
      <c r="E1016" s="18">
        <v>0</v>
      </c>
    </row>
    <row r="1017" spans="1:5" x14ac:dyDescent="0.25">
      <c r="A1017" s="18">
        <v>2002</v>
      </c>
      <c r="B1017" s="18" t="s">
        <v>49</v>
      </c>
      <c r="C1017" s="18">
        <v>0</v>
      </c>
      <c r="D1017" s="18">
        <v>0</v>
      </c>
      <c r="E1017" s="18">
        <v>0</v>
      </c>
    </row>
    <row r="1018" spans="1:5" x14ac:dyDescent="0.25">
      <c r="A1018" s="18">
        <v>2003</v>
      </c>
      <c r="B1018" s="18" t="s">
        <v>49</v>
      </c>
      <c r="C1018" s="18">
        <v>0</v>
      </c>
      <c r="D1018" s="18">
        <v>0</v>
      </c>
      <c r="E1018" s="18">
        <v>0</v>
      </c>
    </row>
    <row r="1019" spans="1:5" x14ac:dyDescent="0.25">
      <c r="A1019" s="18">
        <v>2004</v>
      </c>
      <c r="B1019" s="18" t="s">
        <v>49</v>
      </c>
      <c r="C1019" s="18">
        <v>0</v>
      </c>
      <c r="D1019" s="18">
        <v>0</v>
      </c>
      <c r="E1019" s="18">
        <v>0</v>
      </c>
    </row>
    <row r="1020" spans="1:5" x14ac:dyDescent="0.25">
      <c r="A1020" s="18">
        <v>2005</v>
      </c>
      <c r="B1020" s="18" t="s">
        <v>49</v>
      </c>
      <c r="C1020" s="18">
        <v>0</v>
      </c>
      <c r="D1020" s="18">
        <v>0</v>
      </c>
      <c r="E1020" s="18">
        <v>0</v>
      </c>
    </row>
    <row r="1021" spans="1:5" x14ac:dyDescent="0.25">
      <c r="A1021" s="18">
        <v>2006</v>
      </c>
      <c r="B1021" s="18" t="s">
        <v>49</v>
      </c>
      <c r="C1021" s="18">
        <v>0</v>
      </c>
      <c r="D1021" s="18">
        <v>0</v>
      </c>
      <c r="E1021" s="18">
        <v>0</v>
      </c>
    </row>
    <row r="1022" spans="1:5" x14ac:dyDescent="0.25">
      <c r="A1022" s="18">
        <v>2007</v>
      </c>
      <c r="B1022" s="18" t="s">
        <v>49</v>
      </c>
      <c r="C1022" s="18">
        <v>0</v>
      </c>
      <c r="D1022" s="18">
        <v>0</v>
      </c>
      <c r="E1022" s="18">
        <v>0</v>
      </c>
    </row>
    <row r="1023" spans="1:5" x14ac:dyDescent="0.25">
      <c r="A1023" s="18">
        <v>2008</v>
      </c>
      <c r="B1023" s="18" t="s">
        <v>49</v>
      </c>
      <c r="C1023" s="18">
        <v>0</v>
      </c>
      <c r="D1023" s="18">
        <v>0</v>
      </c>
      <c r="E1023" s="18">
        <v>0</v>
      </c>
    </row>
    <row r="1024" spans="1:5" x14ac:dyDescent="0.25">
      <c r="A1024" s="18">
        <v>1950</v>
      </c>
      <c r="B1024" s="18" t="s">
        <v>50</v>
      </c>
      <c r="C1024" s="18">
        <v>0</v>
      </c>
      <c r="D1024" s="18">
        <v>0</v>
      </c>
      <c r="E1024" s="18">
        <v>0</v>
      </c>
    </row>
    <row r="1025" spans="1:5" x14ac:dyDescent="0.25">
      <c r="A1025" s="18">
        <v>1951</v>
      </c>
      <c r="B1025" s="18" t="s">
        <v>50</v>
      </c>
      <c r="C1025" s="18">
        <v>0</v>
      </c>
      <c r="D1025" s="18">
        <v>0</v>
      </c>
      <c r="E1025" s="18">
        <v>0</v>
      </c>
    </row>
    <row r="1026" spans="1:5" x14ac:dyDescent="0.25">
      <c r="A1026" s="18">
        <v>1952</v>
      </c>
      <c r="B1026" s="18" t="s">
        <v>50</v>
      </c>
      <c r="C1026" s="18">
        <v>0</v>
      </c>
      <c r="D1026" s="18">
        <v>0</v>
      </c>
      <c r="E1026" s="18">
        <v>0</v>
      </c>
    </row>
    <row r="1027" spans="1:5" x14ac:dyDescent="0.25">
      <c r="A1027" s="18">
        <v>1953</v>
      </c>
      <c r="B1027" s="18" t="s">
        <v>50</v>
      </c>
      <c r="C1027" s="18">
        <v>0</v>
      </c>
      <c r="D1027" s="18">
        <v>0</v>
      </c>
      <c r="E1027" s="18">
        <v>0</v>
      </c>
    </row>
    <row r="1028" spans="1:5" x14ac:dyDescent="0.25">
      <c r="A1028" s="18">
        <v>1954</v>
      </c>
      <c r="B1028" s="18" t="s">
        <v>50</v>
      </c>
      <c r="C1028" s="18">
        <v>0</v>
      </c>
      <c r="D1028" s="18">
        <v>0</v>
      </c>
      <c r="E1028" s="18">
        <v>0</v>
      </c>
    </row>
    <row r="1029" spans="1:5" x14ac:dyDescent="0.25">
      <c r="A1029" s="18">
        <v>1955</v>
      </c>
      <c r="B1029" s="18" t="s">
        <v>50</v>
      </c>
      <c r="C1029" s="18">
        <v>0</v>
      </c>
      <c r="D1029" s="18">
        <v>0</v>
      </c>
      <c r="E1029" s="18">
        <v>0</v>
      </c>
    </row>
    <row r="1030" spans="1:5" x14ac:dyDescent="0.25">
      <c r="A1030" s="18">
        <v>1956</v>
      </c>
      <c r="B1030" s="18" t="s">
        <v>50</v>
      </c>
      <c r="C1030" s="18">
        <v>0</v>
      </c>
      <c r="D1030" s="18">
        <v>0</v>
      </c>
      <c r="E1030" s="18">
        <v>0</v>
      </c>
    </row>
    <row r="1031" spans="1:5" x14ac:dyDescent="0.25">
      <c r="A1031" s="18">
        <v>1957</v>
      </c>
      <c r="B1031" s="18" t="s">
        <v>50</v>
      </c>
      <c r="C1031" s="18">
        <v>0</v>
      </c>
      <c r="D1031" s="18">
        <v>0</v>
      </c>
      <c r="E1031" s="18">
        <v>0</v>
      </c>
    </row>
    <row r="1032" spans="1:5" x14ac:dyDescent="0.25">
      <c r="A1032" s="18">
        <v>1958</v>
      </c>
      <c r="B1032" s="18" t="s">
        <v>50</v>
      </c>
      <c r="C1032" s="18">
        <v>0</v>
      </c>
      <c r="D1032" s="18">
        <v>0</v>
      </c>
      <c r="E1032" s="18">
        <v>0</v>
      </c>
    </row>
    <row r="1033" spans="1:5" x14ac:dyDescent="0.25">
      <c r="A1033" s="18">
        <v>1959</v>
      </c>
      <c r="B1033" s="18" t="s">
        <v>50</v>
      </c>
      <c r="C1033" s="18">
        <v>0</v>
      </c>
      <c r="D1033" s="18">
        <v>0</v>
      </c>
      <c r="E1033" s="18">
        <v>0</v>
      </c>
    </row>
    <row r="1034" spans="1:5" x14ac:dyDescent="0.25">
      <c r="A1034" s="18">
        <v>1960</v>
      </c>
      <c r="B1034" s="18" t="s">
        <v>50</v>
      </c>
      <c r="C1034" s="18">
        <v>0</v>
      </c>
      <c r="D1034" s="18">
        <v>0</v>
      </c>
      <c r="E1034" s="18">
        <v>0</v>
      </c>
    </row>
    <row r="1035" spans="1:5" x14ac:dyDescent="0.25">
      <c r="A1035" s="18">
        <v>1961</v>
      </c>
      <c r="B1035" s="18" t="s">
        <v>50</v>
      </c>
      <c r="C1035" s="18">
        <v>0</v>
      </c>
      <c r="D1035" s="18">
        <v>0</v>
      </c>
      <c r="E1035" s="18">
        <v>0</v>
      </c>
    </row>
    <row r="1036" spans="1:5" x14ac:dyDescent="0.25">
      <c r="A1036" s="18">
        <v>1962</v>
      </c>
      <c r="B1036" s="18" t="s">
        <v>50</v>
      </c>
      <c r="C1036" s="18">
        <v>0</v>
      </c>
      <c r="D1036" s="18">
        <v>0</v>
      </c>
      <c r="E1036" s="18">
        <v>0</v>
      </c>
    </row>
    <row r="1037" spans="1:5" x14ac:dyDescent="0.25">
      <c r="A1037" s="18">
        <v>1963</v>
      </c>
      <c r="B1037" s="18" t="s">
        <v>50</v>
      </c>
      <c r="C1037" s="18">
        <v>0</v>
      </c>
      <c r="D1037" s="18">
        <v>0</v>
      </c>
      <c r="E1037" s="18">
        <v>0</v>
      </c>
    </row>
    <row r="1038" spans="1:5" x14ac:dyDescent="0.25">
      <c r="A1038" s="18">
        <v>1964</v>
      </c>
      <c r="B1038" s="18" t="s">
        <v>50</v>
      </c>
      <c r="C1038" s="18">
        <v>0</v>
      </c>
      <c r="D1038" s="18">
        <v>0</v>
      </c>
      <c r="E1038" s="18">
        <v>0</v>
      </c>
    </row>
    <row r="1039" spans="1:5" x14ac:dyDescent="0.25">
      <c r="A1039" s="18">
        <v>1965</v>
      </c>
      <c r="B1039" s="18" t="s">
        <v>50</v>
      </c>
      <c r="C1039" s="18">
        <v>0</v>
      </c>
      <c r="D1039" s="18">
        <v>0</v>
      </c>
      <c r="E1039" s="18">
        <v>0</v>
      </c>
    </row>
    <row r="1040" spans="1:5" x14ac:dyDescent="0.25">
      <c r="A1040" s="18">
        <v>1966</v>
      </c>
      <c r="B1040" s="18" t="s">
        <v>50</v>
      </c>
      <c r="C1040" s="18">
        <v>0</v>
      </c>
      <c r="D1040" s="18">
        <v>0</v>
      </c>
      <c r="E1040" s="18">
        <v>0</v>
      </c>
    </row>
    <row r="1041" spans="1:5" x14ac:dyDescent="0.25">
      <c r="A1041" s="18">
        <v>1967</v>
      </c>
      <c r="B1041" s="18" t="s">
        <v>50</v>
      </c>
      <c r="C1041" s="18">
        <v>0</v>
      </c>
      <c r="D1041" s="18">
        <v>0</v>
      </c>
      <c r="E1041" s="18">
        <v>0</v>
      </c>
    </row>
    <row r="1042" spans="1:5" x14ac:dyDescent="0.25">
      <c r="A1042" s="18">
        <v>1968</v>
      </c>
      <c r="B1042" s="18" t="s">
        <v>50</v>
      </c>
      <c r="C1042" s="18">
        <v>0</v>
      </c>
      <c r="D1042" s="18">
        <v>0</v>
      </c>
      <c r="E1042" s="18">
        <v>0</v>
      </c>
    </row>
    <row r="1043" spans="1:5" x14ac:dyDescent="0.25">
      <c r="A1043" s="18">
        <v>1969</v>
      </c>
      <c r="B1043" s="18" t="s">
        <v>50</v>
      </c>
      <c r="C1043" s="18">
        <v>0</v>
      </c>
      <c r="D1043" s="18">
        <v>0</v>
      </c>
      <c r="E1043" s="18">
        <v>0</v>
      </c>
    </row>
    <row r="1044" spans="1:5" x14ac:dyDescent="0.25">
      <c r="A1044" s="18">
        <v>1970</v>
      </c>
      <c r="B1044" s="18" t="s">
        <v>50</v>
      </c>
      <c r="C1044" s="18">
        <v>0</v>
      </c>
      <c r="D1044" s="18">
        <v>0</v>
      </c>
      <c r="E1044" s="18">
        <v>0</v>
      </c>
    </row>
    <row r="1045" spans="1:5" x14ac:dyDescent="0.25">
      <c r="A1045" s="18">
        <v>1971</v>
      </c>
      <c r="B1045" s="18" t="s">
        <v>50</v>
      </c>
      <c r="C1045" s="18">
        <v>0</v>
      </c>
      <c r="D1045" s="18">
        <v>0</v>
      </c>
      <c r="E1045" s="18">
        <v>0</v>
      </c>
    </row>
    <row r="1046" spans="1:5" x14ac:dyDescent="0.25">
      <c r="A1046" s="18">
        <v>1972</v>
      </c>
      <c r="B1046" s="18" t="s">
        <v>50</v>
      </c>
      <c r="C1046" s="18">
        <v>0</v>
      </c>
      <c r="D1046" s="18">
        <v>0</v>
      </c>
      <c r="E1046" s="18">
        <v>0</v>
      </c>
    </row>
    <row r="1047" spans="1:5" x14ac:dyDescent="0.25">
      <c r="A1047" s="18">
        <v>1973</v>
      </c>
      <c r="B1047" s="18" t="s">
        <v>50</v>
      </c>
      <c r="C1047" s="18">
        <v>0</v>
      </c>
      <c r="D1047" s="18">
        <v>0</v>
      </c>
      <c r="E1047" s="18">
        <v>0</v>
      </c>
    </row>
    <row r="1048" spans="1:5" x14ac:dyDescent="0.25">
      <c r="A1048" s="18">
        <v>1974</v>
      </c>
      <c r="B1048" s="18" t="s">
        <v>50</v>
      </c>
      <c r="C1048" s="18">
        <v>0</v>
      </c>
      <c r="D1048" s="18">
        <v>0</v>
      </c>
      <c r="E1048" s="18">
        <v>0</v>
      </c>
    </row>
    <row r="1049" spans="1:5" x14ac:dyDescent="0.25">
      <c r="A1049" s="18">
        <v>1975</v>
      </c>
      <c r="B1049" s="18" t="s">
        <v>50</v>
      </c>
      <c r="C1049" s="18">
        <v>590</v>
      </c>
      <c r="D1049" s="18">
        <v>564</v>
      </c>
      <c r="E1049" s="18">
        <v>1154</v>
      </c>
    </row>
    <row r="1050" spans="1:5" x14ac:dyDescent="0.25">
      <c r="A1050" s="18">
        <v>1976</v>
      </c>
      <c r="B1050" s="18" t="s">
        <v>50</v>
      </c>
      <c r="C1050" s="18">
        <v>0</v>
      </c>
      <c r="D1050" s="18">
        <v>0</v>
      </c>
      <c r="E1050" s="18">
        <v>0</v>
      </c>
    </row>
    <row r="1051" spans="1:5" x14ac:dyDescent="0.25">
      <c r="A1051" s="18">
        <v>1977</v>
      </c>
      <c r="B1051" s="18" t="s">
        <v>50</v>
      </c>
      <c r="C1051" s="18">
        <v>0</v>
      </c>
      <c r="D1051" s="18">
        <v>0</v>
      </c>
      <c r="E1051" s="18">
        <v>0</v>
      </c>
    </row>
    <row r="1052" spans="1:5" x14ac:dyDescent="0.25">
      <c r="A1052" s="18">
        <v>1978</v>
      </c>
      <c r="B1052" s="18" t="s">
        <v>50</v>
      </c>
      <c r="C1052" s="18">
        <v>0</v>
      </c>
      <c r="D1052" s="18">
        <v>0</v>
      </c>
      <c r="E1052" s="18">
        <v>0</v>
      </c>
    </row>
    <row r="1053" spans="1:5" x14ac:dyDescent="0.25">
      <c r="A1053" s="18">
        <v>1979</v>
      </c>
      <c r="B1053" s="18" t="s">
        <v>50</v>
      </c>
      <c r="C1053" s="18">
        <v>0</v>
      </c>
      <c r="D1053" s="18">
        <v>0</v>
      </c>
      <c r="E1053" s="18">
        <v>0</v>
      </c>
    </row>
    <row r="1054" spans="1:5" x14ac:dyDescent="0.25">
      <c r="A1054" s="18">
        <v>1980</v>
      </c>
      <c r="B1054" s="18" t="s">
        <v>50</v>
      </c>
      <c r="C1054" s="18">
        <v>488</v>
      </c>
      <c r="D1054" s="18">
        <v>491</v>
      </c>
      <c r="E1054" s="18">
        <v>979</v>
      </c>
    </row>
    <row r="1055" spans="1:5" x14ac:dyDescent="0.25">
      <c r="A1055" s="18">
        <v>1981</v>
      </c>
      <c r="B1055" s="18" t="s">
        <v>50</v>
      </c>
      <c r="C1055" s="18">
        <v>0</v>
      </c>
      <c r="D1055" s="18">
        <v>0</v>
      </c>
      <c r="E1055" s="18">
        <v>0</v>
      </c>
    </row>
    <row r="1056" spans="1:5" x14ac:dyDescent="0.25">
      <c r="A1056" s="18">
        <v>1982</v>
      </c>
      <c r="B1056" s="18" t="s">
        <v>50</v>
      </c>
      <c r="C1056" s="18">
        <v>0</v>
      </c>
      <c r="D1056" s="18">
        <v>0</v>
      </c>
      <c r="E1056" s="18">
        <v>0</v>
      </c>
    </row>
    <row r="1057" spans="1:5" x14ac:dyDescent="0.25">
      <c r="A1057" s="18">
        <v>1983</v>
      </c>
      <c r="B1057" s="18" t="s">
        <v>50</v>
      </c>
      <c r="C1057" s="18">
        <v>0</v>
      </c>
      <c r="D1057" s="18">
        <v>0</v>
      </c>
      <c r="E1057" s="18">
        <v>0</v>
      </c>
    </row>
    <row r="1058" spans="1:5" x14ac:dyDescent="0.25">
      <c r="A1058" s="18">
        <v>1984</v>
      </c>
      <c r="B1058" s="18" t="s">
        <v>50</v>
      </c>
      <c r="C1058" s="18">
        <v>0</v>
      </c>
      <c r="D1058" s="18">
        <v>0</v>
      </c>
      <c r="E1058" s="18">
        <v>0</v>
      </c>
    </row>
    <row r="1059" spans="1:5" x14ac:dyDescent="0.25">
      <c r="A1059" s="18">
        <v>1985</v>
      </c>
      <c r="B1059" s="18" t="s">
        <v>50</v>
      </c>
      <c r="C1059" s="18">
        <v>571</v>
      </c>
      <c r="D1059" s="18">
        <v>621</v>
      </c>
      <c r="E1059" s="18">
        <v>1192</v>
      </c>
    </row>
    <row r="1060" spans="1:5" x14ac:dyDescent="0.25">
      <c r="A1060" s="18">
        <v>1986</v>
      </c>
      <c r="B1060" s="18" t="s">
        <v>50</v>
      </c>
      <c r="C1060" s="18">
        <v>0</v>
      </c>
      <c r="D1060" s="18">
        <v>0</v>
      </c>
      <c r="E1060" s="18">
        <v>0</v>
      </c>
    </row>
    <row r="1061" spans="1:5" x14ac:dyDescent="0.25">
      <c r="A1061" s="18">
        <v>1987</v>
      </c>
      <c r="B1061" s="18" t="s">
        <v>50</v>
      </c>
      <c r="C1061" s="18">
        <v>0</v>
      </c>
      <c r="D1061" s="18">
        <v>0</v>
      </c>
      <c r="E1061" s="18">
        <v>0</v>
      </c>
    </row>
    <row r="1062" spans="1:5" x14ac:dyDescent="0.25">
      <c r="A1062" s="18">
        <v>1988</v>
      </c>
      <c r="B1062" s="18" t="s">
        <v>50</v>
      </c>
      <c r="C1062" s="18">
        <v>0</v>
      </c>
      <c r="D1062" s="18">
        <v>0</v>
      </c>
      <c r="E1062" s="18">
        <v>0</v>
      </c>
    </row>
    <row r="1063" spans="1:5" x14ac:dyDescent="0.25">
      <c r="A1063" s="18">
        <v>1989</v>
      </c>
      <c r="B1063" s="18" t="s">
        <v>50</v>
      </c>
      <c r="C1063" s="18">
        <v>0</v>
      </c>
      <c r="D1063" s="18">
        <v>0</v>
      </c>
      <c r="E1063" s="18">
        <v>0</v>
      </c>
    </row>
    <row r="1064" spans="1:5" x14ac:dyDescent="0.25">
      <c r="A1064" s="18">
        <v>1990</v>
      </c>
      <c r="B1064" s="18" t="s">
        <v>50</v>
      </c>
      <c r="C1064" s="18">
        <v>479</v>
      </c>
      <c r="D1064" s="18">
        <v>465</v>
      </c>
      <c r="E1064" s="18">
        <v>943</v>
      </c>
    </row>
    <row r="1065" spans="1:5" x14ac:dyDescent="0.25">
      <c r="A1065" s="18">
        <v>1991</v>
      </c>
      <c r="B1065" s="18" t="s">
        <v>50</v>
      </c>
      <c r="C1065" s="18">
        <v>0</v>
      </c>
      <c r="D1065" s="18">
        <v>0</v>
      </c>
      <c r="E1065" s="18">
        <v>0</v>
      </c>
    </row>
    <row r="1066" spans="1:5" x14ac:dyDescent="0.25">
      <c r="A1066" s="18">
        <v>1992</v>
      </c>
      <c r="B1066" s="18" t="s">
        <v>50</v>
      </c>
      <c r="C1066" s="18">
        <v>0</v>
      </c>
      <c r="D1066" s="18">
        <v>0</v>
      </c>
      <c r="E1066" s="18">
        <v>0</v>
      </c>
    </row>
    <row r="1067" spans="1:5" x14ac:dyDescent="0.25">
      <c r="A1067" s="18">
        <v>1993</v>
      </c>
      <c r="B1067" s="18" t="s">
        <v>50</v>
      </c>
      <c r="C1067" s="18">
        <v>0</v>
      </c>
      <c r="D1067" s="18">
        <v>0</v>
      </c>
      <c r="E1067" s="18">
        <v>0</v>
      </c>
    </row>
    <row r="1068" spans="1:5" x14ac:dyDescent="0.25">
      <c r="A1068" s="18">
        <v>1994</v>
      </c>
      <c r="B1068" s="18" t="s">
        <v>50</v>
      </c>
      <c r="C1068" s="18">
        <v>0</v>
      </c>
      <c r="D1068" s="18">
        <v>0</v>
      </c>
      <c r="E1068" s="18">
        <v>0</v>
      </c>
    </row>
    <row r="1069" spans="1:5" x14ac:dyDescent="0.25">
      <c r="A1069" s="18">
        <v>1995</v>
      </c>
      <c r="B1069" s="18" t="s">
        <v>50</v>
      </c>
      <c r="C1069" s="18">
        <v>0</v>
      </c>
      <c r="D1069" s="18">
        <v>0</v>
      </c>
      <c r="E1069" s="18">
        <v>0</v>
      </c>
    </row>
    <row r="1070" spans="1:5" x14ac:dyDescent="0.25">
      <c r="A1070" s="18">
        <v>1996</v>
      </c>
      <c r="B1070" s="18" t="s">
        <v>50</v>
      </c>
      <c r="C1070" s="18">
        <v>0</v>
      </c>
      <c r="D1070" s="18">
        <v>0</v>
      </c>
      <c r="E1070" s="18">
        <v>0</v>
      </c>
    </row>
    <row r="1071" spans="1:5" x14ac:dyDescent="0.25">
      <c r="A1071" s="18">
        <v>1997</v>
      </c>
      <c r="B1071" s="18" t="s">
        <v>50</v>
      </c>
      <c r="C1071" s="18">
        <v>0</v>
      </c>
      <c r="D1071" s="18">
        <v>0</v>
      </c>
      <c r="E1071" s="18">
        <v>0</v>
      </c>
    </row>
    <row r="1072" spans="1:5" x14ac:dyDescent="0.25">
      <c r="A1072" s="18">
        <v>1998</v>
      </c>
      <c r="B1072" s="18" t="s">
        <v>50</v>
      </c>
      <c r="C1072" s="18">
        <v>0</v>
      </c>
      <c r="D1072" s="18">
        <v>0</v>
      </c>
      <c r="E1072" s="18">
        <v>0</v>
      </c>
    </row>
    <row r="1073" spans="1:5" x14ac:dyDescent="0.25">
      <c r="A1073" s="18">
        <v>1999</v>
      </c>
      <c r="B1073" s="18" t="s">
        <v>50</v>
      </c>
      <c r="C1073" s="18">
        <v>0</v>
      </c>
      <c r="D1073" s="18">
        <v>0</v>
      </c>
      <c r="E1073" s="18">
        <v>0</v>
      </c>
    </row>
    <row r="1074" spans="1:5" x14ac:dyDescent="0.25">
      <c r="A1074" s="18">
        <v>2000</v>
      </c>
      <c r="B1074" s="18" t="s">
        <v>50</v>
      </c>
      <c r="C1074" s="18">
        <v>619</v>
      </c>
      <c r="D1074" s="18">
        <v>747</v>
      </c>
      <c r="E1074" s="18">
        <v>1365</v>
      </c>
    </row>
    <row r="1075" spans="1:5" x14ac:dyDescent="0.25">
      <c r="A1075" s="18">
        <v>2001</v>
      </c>
      <c r="B1075" s="18" t="s">
        <v>50</v>
      </c>
      <c r="C1075" s="18">
        <v>0</v>
      </c>
      <c r="D1075" s="18">
        <v>0</v>
      </c>
      <c r="E1075" s="18">
        <v>0</v>
      </c>
    </row>
    <row r="1076" spans="1:5" x14ac:dyDescent="0.25">
      <c r="A1076" s="18">
        <v>2002</v>
      </c>
      <c r="B1076" s="18" t="s">
        <v>50</v>
      </c>
      <c r="C1076" s="18">
        <v>0</v>
      </c>
      <c r="D1076" s="18">
        <v>0</v>
      </c>
      <c r="E1076" s="18">
        <v>0</v>
      </c>
    </row>
    <row r="1077" spans="1:5" x14ac:dyDescent="0.25">
      <c r="A1077" s="18">
        <v>2003</v>
      </c>
      <c r="B1077" s="18" t="s">
        <v>50</v>
      </c>
      <c r="C1077" s="18">
        <v>0</v>
      </c>
      <c r="D1077" s="18">
        <v>0</v>
      </c>
      <c r="E1077" s="18">
        <v>0</v>
      </c>
    </row>
    <row r="1078" spans="1:5" x14ac:dyDescent="0.25">
      <c r="A1078" s="18">
        <v>2004</v>
      </c>
      <c r="B1078" s="18" t="s">
        <v>50</v>
      </c>
      <c r="C1078" s="18">
        <v>0</v>
      </c>
      <c r="D1078" s="18">
        <v>0</v>
      </c>
      <c r="E1078" s="18">
        <v>0</v>
      </c>
    </row>
    <row r="1079" spans="1:5" x14ac:dyDescent="0.25">
      <c r="A1079" s="18">
        <v>2005</v>
      </c>
      <c r="B1079" s="18" t="s">
        <v>50</v>
      </c>
      <c r="C1079" s="18">
        <v>0</v>
      </c>
      <c r="D1079" s="18">
        <v>0</v>
      </c>
      <c r="E1079" s="18">
        <v>0</v>
      </c>
    </row>
    <row r="1080" spans="1:5" x14ac:dyDescent="0.25">
      <c r="A1080" s="18">
        <v>2006</v>
      </c>
      <c r="B1080" s="18" t="s">
        <v>50</v>
      </c>
      <c r="C1080" s="18">
        <v>0</v>
      </c>
      <c r="D1080" s="18">
        <v>0</v>
      </c>
      <c r="E1080" s="18">
        <v>0</v>
      </c>
    </row>
    <row r="1081" spans="1:5" x14ac:dyDescent="0.25">
      <c r="A1081" s="18">
        <v>2007</v>
      </c>
      <c r="B1081" s="18" t="s">
        <v>50</v>
      </c>
      <c r="C1081" s="18">
        <v>0</v>
      </c>
      <c r="D1081" s="18">
        <v>0</v>
      </c>
      <c r="E1081" s="18">
        <v>0</v>
      </c>
    </row>
    <row r="1082" spans="1:5" x14ac:dyDescent="0.25">
      <c r="A1082" s="18">
        <v>2008</v>
      </c>
      <c r="B1082" s="18" t="s">
        <v>50</v>
      </c>
      <c r="C1082" s="18">
        <v>0</v>
      </c>
      <c r="D1082" s="18">
        <v>0</v>
      </c>
      <c r="E1082" s="18">
        <v>0</v>
      </c>
    </row>
    <row r="1083" spans="1:5" x14ac:dyDescent="0.25">
      <c r="A1083" s="18">
        <v>1950</v>
      </c>
      <c r="B1083" s="18" t="s">
        <v>37</v>
      </c>
      <c r="C1083" s="18">
        <v>0</v>
      </c>
      <c r="D1083" s="18">
        <v>0</v>
      </c>
      <c r="E1083" s="18">
        <v>0</v>
      </c>
    </row>
    <row r="1084" spans="1:5" x14ac:dyDescent="0.25">
      <c r="A1084" s="18">
        <v>1951</v>
      </c>
      <c r="B1084" s="18" t="s">
        <v>37</v>
      </c>
      <c r="C1084" s="18">
        <v>0</v>
      </c>
      <c r="D1084" s="18">
        <v>0</v>
      </c>
      <c r="E1084" s="18">
        <v>0</v>
      </c>
    </row>
    <row r="1085" spans="1:5" x14ac:dyDescent="0.25">
      <c r="A1085" s="18">
        <v>1952</v>
      </c>
      <c r="B1085" s="18" t="s">
        <v>37</v>
      </c>
      <c r="C1085" s="18">
        <v>0</v>
      </c>
      <c r="D1085" s="18">
        <v>0</v>
      </c>
      <c r="E1085" s="18">
        <v>0</v>
      </c>
    </row>
    <row r="1086" spans="1:5" x14ac:dyDescent="0.25">
      <c r="A1086" s="18">
        <v>1953</v>
      </c>
      <c r="B1086" s="18" t="s">
        <v>37</v>
      </c>
      <c r="C1086" s="18">
        <v>0</v>
      </c>
      <c r="D1086" s="18">
        <v>0</v>
      </c>
      <c r="E1086" s="18">
        <v>0</v>
      </c>
    </row>
    <row r="1087" spans="1:5" x14ac:dyDescent="0.25">
      <c r="A1087" s="18">
        <v>1954</v>
      </c>
      <c r="B1087" s="18" t="s">
        <v>37</v>
      </c>
      <c r="C1087" s="18">
        <v>0</v>
      </c>
      <c r="D1087" s="18">
        <v>0</v>
      </c>
      <c r="E1087" s="18">
        <v>0</v>
      </c>
    </row>
    <row r="1088" spans="1:5" x14ac:dyDescent="0.25">
      <c r="A1088" s="18">
        <v>1955</v>
      </c>
      <c r="B1088" s="18" t="s">
        <v>37</v>
      </c>
      <c r="C1088" s="18">
        <v>0</v>
      </c>
      <c r="D1088" s="18">
        <v>0</v>
      </c>
      <c r="E1088" s="18">
        <v>0</v>
      </c>
    </row>
    <row r="1089" spans="1:5" x14ac:dyDescent="0.25">
      <c r="A1089" s="18">
        <v>1956</v>
      </c>
      <c r="B1089" s="18" t="s">
        <v>37</v>
      </c>
      <c r="C1089" s="18">
        <v>0</v>
      </c>
      <c r="D1089" s="18">
        <v>0</v>
      </c>
      <c r="E1089" s="18">
        <v>0</v>
      </c>
    </row>
    <row r="1090" spans="1:5" x14ac:dyDescent="0.25">
      <c r="A1090" s="18">
        <v>1957</v>
      </c>
      <c r="B1090" s="18" t="s">
        <v>37</v>
      </c>
      <c r="C1090" s="18">
        <v>0</v>
      </c>
      <c r="D1090" s="18">
        <v>0</v>
      </c>
      <c r="E1090" s="18">
        <v>0</v>
      </c>
    </row>
    <row r="1091" spans="1:5" x14ac:dyDescent="0.25">
      <c r="A1091" s="18">
        <v>1958</v>
      </c>
      <c r="B1091" s="18" t="s">
        <v>37</v>
      </c>
      <c r="C1091" s="18">
        <v>0</v>
      </c>
      <c r="D1091" s="18">
        <v>0</v>
      </c>
      <c r="E1091" s="18">
        <v>0</v>
      </c>
    </row>
    <row r="1092" spans="1:5" x14ac:dyDescent="0.25">
      <c r="A1092" s="18">
        <v>1959</v>
      </c>
      <c r="B1092" s="18" t="s">
        <v>37</v>
      </c>
      <c r="C1092" s="18">
        <v>0</v>
      </c>
      <c r="D1092" s="18">
        <v>0</v>
      </c>
      <c r="E1092" s="18">
        <v>0</v>
      </c>
    </row>
    <row r="1093" spans="1:5" x14ac:dyDescent="0.25">
      <c r="A1093" s="18">
        <v>1960</v>
      </c>
      <c r="B1093" s="18" t="s">
        <v>37</v>
      </c>
      <c r="C1093" s="18">
        <v>0</v>
      </c>
      <c r="D1093" s="18">
        <v>0</v>
      </c>
      <c r="E1093" s="18">
        <v>0</v>
      </c>
    </row>
    <row r="1094" spans="1:5" x14ac:dyDescent="0.25">
      <c r="A1094" s="18">
        <v>1961</v>
      </c>
      <c r="B1094" s="18" t="s">
        <v>37</v>
      </c>
      <c r="C1094" s="18">
        <v>0</v>
      </c>
      <c r="D1094" s="18">
        <v>0</v>
      </c>
      <c r="E1094" s="18">
        <v>0</v>
      </c>
    </row>
    <row r="1095" spans="1:5" x14ac:dyDescent="0.25">
      <c r="A1095" s="18">
        <v>1962</v>
      </c>
      <c r="B1095" s="18" t="s">
        <v>37</v>
      </c>
      <c r="C1095" s="18">
        <v>0</v>
      </c>
      <c r="D1095" s="18">
        <v>0</v>
      </c>
      <c r="E1095" s="18">
        <v>0</v>
      </c>
    </row>
    <row r="1096" spans="1:5" x14ac:dyDescent="0.25">
      <c r="A1096" s="18">
        <v>1963</v>
      </c>
      <c r="B1096" s="18" t="s">
        <v>37</v>
      </c>
      <c r="C1096" s="18">
        <v>0</v>
      </c>
      <c r="D1096" s="18">
        <v>0</v>
      </c>
      <c r="E1096" s="18">
        <v>0</v>
      </c>
    </row>
    <row r="1097" spans="1:5" x14ac:dyDescent="0.25">
      <c r="A1097" s="18">
        <v>1964</v>
      </c>
      <c r="B1097" s="18" t="s">
        <v>37</v>
      </c>
      <c r="C1097" s="18">
        <v>0</v>
      </c>
      <c r="D1097" s="18">
        <v>0</v>
      </c>
      <c r="E1097" s="18">
        <v>0</v>
      </c>
    </row>
    <row r="1098" spans="1:5" x14ac:dyDescent="0.25">
      <c r="A1098" s="18">
        <v>1965</v>
      </c>
      <c r="B1098" s="18" t="s">
        <v>37</v>
      </c>
      <c r="C1098" s="18">
        <v>0</v>
      </c>
      <c r="D1098" s="18">
        <v>0</v>
      </c>
      <c r="E1098" s="18">
        <v>0</v>
      </c>
    </row>
    <row r="1099" spans="1:5" x14ac:dyDescent="0.25">
      <c r="A1099" s="18">
        <v>1966</v>
      </c>
      <c r="B1099" s="18" t="s">
        <v>37</v>
      </c>
      <c r="C1099" s="18">
        <v>0</v>
      </c>
      <c r="D1099" s="18">
        <v>0</v>
      </c>
      <c r="E1099" s="18">
        <v>0</v>
      </c>
    </row>
    <row r="1100" spans="1:5" x14ac:dyDescent="0.25">
      <c r="A1100" s="18">
        <v>1967</v>
      </c>
      <c r="B1100" s="18" t="s">
        <v>37</v>
      </c>
      <c r="C1100" s="18">
        <v>0</v>
      </c>
      <c r="D1100" s="18">
        <v>0</v>
      </c>
      <c r="E1100" s="18">
        <v>0</v>
      </c>
    </row>
    <row r="1101" spans="1:5" x14ac:dyDescent="0.25">
      <c r="A1101" s="18">
        <v>1968</v>
      </c>
      <c r="B1101" s="18" t="s">
        <v>37</v>
      </c>
      <c r="C1101" s="18">
        <v>0</v>
      </c>
      <c r="D1101" s="18">
        <v>0</v>
      </c>
      <c r="E1101" s="18">
        <v>0</v>
      </c>
    </row>
    <row r="1102" spans="1:5" x14ac:dyDescent="0.25">
      <c r="A1102" s="18">
        <v>1969</v>
      </c>
      <c r="B1102" s="18" t="s">
        <v>37</v>
      </c>
      <c r="C1102" s="18">
        <v>0</v>
      </c>
      <c r="D1102" s="18">
        <v>0</v>
      </c>
      <c r="E1102" s="18">
        <v>0</v>
      </c>
    </row>
    <row r="1103" spans="1:5" x14ac:dyDescent="0.25">
      <c r="A1103" s="18">
        <v>1970</v>
      </c>
      <c r="B1103" s="18" t="s">
        <v>37</v>
      </c>
      <c r="C1103" s="18">
        <v>0</v>
      </c>
      <c r="D1103" s="18">
        <v>0</v>
      </c>
      <c r="E1103" s="18">
        <v>0</v>
      </c>
    </row>
    <row r="1104" spans="1:5" x14ac:dyDescent="0.25">
      <c r="A1104" s="18">
        <v>1971</v>
      </c>
      <c r="B1104" s="18" t="s">
        <v>37</v>
      </c>
      <c r="C1104" s="18">
        <v>0</v>
      </c>
      <c r="D1104" s="18">
        <v>0</v>
      </c>
      <c r="E1104" s="18">
        <v>0</v>
      </c>
    </row>
    <row r="1105" spans="1:5" x14ac:dyDescent="0.25">
      <c r="A1105" s="18">
        <v>1972</v>
      </c>
      <c r="B1105" s="18" t="s">
        <v>37</v>
      </c>
      <c r="C1105" s="18">
        <v>0</v>
      </c>
      <c r="D1105" s="18">
        <v>0</v>
      </c>
      <c r="E1105" s="18">
        <v>0</v>
      </c>
    </row>
    <row r="1106" spans="1:5" x14ac:dyDescent="0.25">
      <c r="A1106" s="18">
        <v>1973</v>
      </c>
      <c r="B1106" s="18" t="s">
        <v>37</v>
      </c>
      <c r="C1106" s="18">
        <v>0</v>
      </c>
      <c r="D1106" s="18">
        <v>0</v>
      </c>
      <c r="E1106" s="18">
        <v>0</v>
      </c>
    </row>
    <row r="1107" spans="1:5" x14ac:dyDescent="0.25">
      <c r="A1107" s="18">
        <v>1974</v>
      </c>
      <c r="B1107" s="18" t="s">
        <v>37</v>
      </c>
      <c r="C1107" s="18">
        <v>0</v>
      </c>
      <c r="D1107" s="18">
        <v>0</v>
      </c>
      <c r="E1107" s="18">
        <v>0</v>
      </c>
    </row>
    <row r="1108" spans="1:5" x14ac:dyDescent="0.25">
      <c r="A1108" s="18">
        <v>1975</v>
      </c>
      <c r="B1108" s="18" t="s">
        <v>37</v>
      </c>
      <c r="C1108" s="18">
        <v>3730</v>
      </c>
      <c r="D1108" s="18">
        <v>3931</v>
      </c>
      <c r="E1108" s="18">
        <v>7658</v>
      </c>
    </row>
    <row r="1109" spans="1:5" x14ac:dyDescent="0.25">
      <c r="A1109" s="18">
        <v>1976</v>
      </c>
      <c r="B1109" s="18" t="s">
        <v>37</v>
      </c>
      <c r="C1109" s="18">
        <v>0</v>
      </c>
      <c r="D1109" s="18">
        <v>0</v>
      </c>
      <c r="E1109" s="18">
        <v>0</v>
      </c>
    </row>
    <row r="1110" spans="1:5" x14ac:dyDescent="0.25">
      <c r="A1110" s="18">
        <v>1977</v>
      </c>
      <c r="B1110" s="18" t="s">
        <v>37</v>
      </c>
      <c r="C1110" s="18">
        <v>0</v>
      </c>
      <c r="D1110" s="18">
        <v>0</v>
      </c>
      <c r="E1110" s="18">
        <v>0</v>
      </c>
    </row>
    <row r="1111" spans="1:5" x14ac:dyDescent="0.25">
      <c r="A1111" s="18">
        <v>1978</v>
      </c>
      <c r="B1111" s="18" t="s">
        <v>37</v>
      </c>
      <c r="C1111" s="18">
        <v>0</v>
      </c>
      <c r="D1111" s="18">
        <v>0</v>
      </c>
      <c r="E1111" s="18">
        <v>0</v>
      </c>
    </row>
    <row r="1112" spans="1:5" x14ac:dyDescent="0.25">
      <c r="A1112" s="18">
        <v>1979</v>
      </c>
      <c r="B1112" s="18" t="s">
        <v>37</v>
      </c>
      <c r="C1112" s="18">
        <v>0</v>
      </c>
      <c r="D1112" s="18">
        <v>0</v>
      </c>
      <c r="E1112" s="18">
        <v>0</v>
      </c>
    </row>
    <row r="1113" spans="1:5" x14ac:dyDescent="0.25">
      <c r="A1113" s="18">
        <v>1980</v>
      </c>
      <c r="B1113" s="18" t="s">
        <v>37</v>
      </c>
      <c r="C1113" s="18">
        <v>4870</v>
      </c>
      <c r="D1113" s="18">
        <v>4830</v>
      </c>
      <c r="E1113" s="18">
        <v>9693</v>
      </c>
    </row>
    <row r="1114" spans="1:5" x14ac:dyDescent="0.25">
      <c r="A1114" s="18">
        <v>1981</v>
      </c>
      <c r="B1114" s="18" t="s">
        <v>37</v>
      </c>
      <c r="C1114" s="18">
        <v>0</v>
      </c>
      <c r="D1114" s="18">
        <v>0</v>
      </c>
      <c r="E1114" s="18">
        <v>0</v>
      </c>
    </row>
    <row r="1115" spans="1:5" x14ac:dyDescent="0.25">
      <c r="A1115" s="18">
        <v>1982</v>
      </c>
      <c r="B1115" s="18" t="s">
        <v>37</v>
      </c>
      <c r="C1115" s="18">
        <v>0</v>
      </c>
      <c r="D1115" s="18">
        <v>0</v>
      </c>
      <c r="E1115" s="18">
        <v>0</v>
      </c>
    </row>
    <row r="1116" spans="1:5" x14ac:dyDescent="0.25">
      <c r="A1116" s="18">
        <v>1983</v>
      </c>
      <c r="B1116" s="18" t="s">
        <v>37</v>
      </c>
      <c r="C1116" s="18">
        <v>0</v>
      </c>
      <c r="D1116" s="18">
        <v>0</v>
      </c>
      <c r="E1116" s="18">
        <v>0</v>
      </c>
    </row>
    <row r="1117" spans="1:5" x14ac:dyDescent="0.25">
      <c r="A1117" s="18">
        <v>1984</v>
      </c>
      <c r="B1117" s="18" t="s">
        <v>37</v>
      </c>
      <c r="C1117" s="18">
        <v>0</v>
      </c>
      <c r="D1117" s="18">
        <v>0</v>
      </c>
      <c r="E1117" s="18">
        <v>0</v>
      </c>
    </row>
    <row r="1118" spans="1:5" x14ac:dyDescent="0.25">
      <c r="A1118" s="18">
        <v>1985</v>
      </c>
      <c r="B1118" s="18" t="s">
        <v>37</v>
      </c>
      <c r="C1118" s="18">
        <v>5096</v>
      </c>
      <c r="D1118" s="18">
        <v>4945</v>
      </c>
      <c r="E1118" s="18">
        <v>10028</v>
      </c>
    </row>
    <row r="1119" spans="1:5" x14ac:dyDescent="0.25">
      <c r="A1119" s="18">
        <v>1986</v>
      </c>
      <c r="B1119" s="18" t="s">
        <v>37</v>
      </c>
      <c r="C1119" s="18">
        <v>0</v>
      </c>
      <c r="D1119" s="18">
        <v>0</v>
      </c>
      <c r="E1119" s="18">
        <v>0</v>
      </c>
    </row>
    <row r="1120" spans="1:5" x14ac:dyDescent="0.25">
      <c r="A1120" s="18">
        <v>1987</v>
      </c>
      <c r="B1120" s="18" t="s">
        <v>37</v>
      </c>
      <c r="C1120" s="18">
        <v>0</v>
      </c>
      <c r="D1120" s="18">
        <v>0</v>
      </c>
      <c r="E1120" s="18">
        <v>0</v>
      </c>
    </row>
    <row r="1121" spans="1:5" x14ac:dyDescent="0.25">
      <c r="A1121" s="18">
        <v>1988</v>
      </c>
      <c r="B1121" s="18" t="s">
        <v>37</v>
      </c>
      <c r="C1121" s="18">
        <v>0</v>
      </c>
      <c r="D1121" s="18">
        <v>0</v>
      </c>
      <c r="E1121" s="18">
        <v>0</v>
      </c>
    </row>
    <row r="1122" spans="1:5" x14ac:dyDescent="0.25">
      <c r="A1122" s="18">
        <v>1989</v>
      </c>
      <c r="B1122" s="18" t="s">
        <v>37</v>
      </c>
      <c r="C1122" s="18">
        <v>0</v>
      </c>
      <c r="D1122" s="18">
        <v>0</v>
      </c>
      <c r="E1122" s="18">
        <v>0</v>
      </c>
    </row>
    <row r="1123" spans="1:5" x14ac:dyDescent="0.25">
      <c r="A1123" s="18">
        <v>1990</v>
      </c>
      <c r="B1123" s="18" t="s">
        <v>37</v>
      </c>
      <c r="C1123" s="18">
        <v>5838</v>
      </c>
      <c r="D1123" s="18">
        <v>5947</v>
      </c>
      <c r="E1123" s="18">
        <v>11785</v>
      </c>
    </row>
    <row r="1124" spans="1:5" x14ac:dyDescent="0.25">
      <c r="A1124" s="18">
        <v>1991</v>
      </c>
      <c r="B1124" s="18" t="s">
        <v>37</v>
      </c>
      <c r="C1124" s="18">
        <v>0</v>
      </c>
      <c r="D1124" s="18">
        <v>0</v>
      </c>
      <c r="E1124" s="18">
        <v>0</v>
      </c>
    </row>
    <row r="1125" spans="1:5" x14ac:dyDescent="0.25">
      <c r="A1125" s="18">
        <v>1992</v>
      </c>
      <c r="B1125" s="18" t="s">
        <v>37</v>
      </c>
      <c r="C1125" s="18">
        <v>0</v>
      </c>
      <c r="D1125" s="18">
        <v>0</v>
      </c>
      <c r="E1125" s="18">
        <v>0</v>
      </c>
    </row>
    <row r="1126" spans="1:5" x14ac:dyDescent="0.25">
      <c r="A1126" s="18">
        <v>1993</v>
      </c>
      <c r="B1126" s="18" t="s">
        <v>37</v>
      </c>
      <c r="C1126" s="18">
        <v>0</v>
      </c>
      <c r="D1126" s="18">
        <v>0</v>
      </c>
      <c r="E1126" s="18">
        <v>0</v>
      </c>
    </row>
    <row r="1127" spans="1:5" x14ac:dyDescent="0.25">
      <c r="A1127" s="18">
        <v>1994</v>
      </c>
      <c r="B1127" s="18" t="s">
        <v>37</v>
      </c>
      <c r="C1127" s="18">
        <v>0</v>
      </c>
      <c r="D1127" s="18">
        <v>0</v>
      </c>
      <c r="E1127" s="18">
        <v>0</v>
      </c>
    </row>
    <row r="1128" spans="1:5" x14ac:dyDescent="0.25">
      <c r="A1128" s="18">
        <v>1995</v>
      </c>
      <c r="B1128" s="18" t="s">
        <v>37</v>
      </c>
      <c r="C1128" s="18">
        <v>0</v>
      </c>
      <c r="D1128" s="18">
        <v>0</v>
      </c>
      <c r="E1128" s="18">
        <v>0</v>
      </c>
    </row>
    <row r="1129" spans="1:5" x14ac:dyDescent="0.25">
      <c r="A1129" s="18">
        <v>1996</v>
      </c>
      <c r="B1129" s="18" t="s">
        <v>37</v>
      </c>
      <c r="C1129" s="18">
        <v>0</v>
      </c>
      <c r="D1129" s="18">
        <v>0</v>
      </c>
      <c r="E1129" s="18">
        <v>0</v>
      </c>
    </row>
    <row r="1130" spans="1:5" x14ac:dyDescent="0.25">
      <c r="A1130" s="18">
        <v>1997</v>
      </c>
      <c r="B1130" s="18" t="s">
        <v>37</v>
      </c>
      <c r="C1130" s="18">
        <v>0</v>
      </c>
      <c r="D1130" s="18">
        <v>0</v>
      </c>
      <c r="E1130" s="18">
        <v>0</v>
      </c>
    </row>
    <row r="1131" spans="1:5" x14ac:dyDescent="0.25">
      <c r="A1131" s="18">
        <v>1998</v>
      </c>
      <c r="B1131" s="18" t="s">
        <v>37</v>
      </c>
      <c r="C1131" s="18">
        <v>0</v>
      </c>
      <c r="D1131" s="18">
        <v>0</v>
      </c>
      <c r="E1131" s="18">
        <v>0</v>
      </c>
    </row>
    <row r="1132" spans="1:5" x14ac:dyDescent="0.25">
      <c r="A1132" s="18">
        <v>1999</v>
      </c>
      <c r="B1132" s="18" t="s">
        <v>37</v>
      </c>
      <c r="C1132" s="18">
        <v>0</v>
      </c>
      <c r="D1132" s="18">
        <v>0</v>
      </c>
      <c r="E1132" s="18">
        <v>0</v>
      </c>
    </row>
    <row r="1133" spans="1:5" x14ac:dyDescent="0.25">
      <c r="A1133" s="18">
        <v>2000</v>
      </c>
      <c r="B1133" s="18" t="s">
        <v>37</v>
      </c>
      <c r="C1133" s="18">
        <v>5933</v>
      </c>
      <c r="D1133" s="18">
        <v>6312</v>
      </c>
      <c r="E1133" s="18">
        <v>12244</v>
      </c>
    </row>
    <row r="1134" spans="1:5" x14ac:dyDescent="0.25">
      <c r="A1134" s="18">
        <v>2001</v>
      </c>
      <c r="B1134" s="18" t="s">
        <v>37</v>
      </c>
      <c r="C1134" s="18">
        <v>0</v>
      </c>
      <c r="D1134" s="18">
        <v>0</v>
      </c>
      <c r="E1134" s="18">
        <v>0</v>
      </c>
    </row>
    <row r="1135" spans="1:5" x14ac:dyDescent="0.25">
      <c r="A1135" s="18">
        <v>2002</v>
      </c>
      <c r="B1135" s="18" t="s">
        <v>37</v>
      </c>
      <c r="C1135" s="18">
        <v>0</v>
      </c>
      <c r="D1135" s="18">
        <v>0</v>
      </c>
      <c r="E1135" s="18">
        <v>0</v>
      </c>
    </row>
    <row r="1136" spans="1:5" x14ac:dyDescent="0.25">
      <c r="A1136" s="18">
        <v>2003</v>
      </c>
      <c r="B1136" s="18" t="s">
        <v>37</v>
      </c>
      <c r="C1136" s="18">
        <v>0</v>
      </c>
      <c r="D1136" s="18">
        <v>0</v>
      </c>
      <c r="E1136" s="18">
        <v>0</v>
      </c>
    </row>
    <row r="1137" spans="1:5" x14ac:dyDescent="0.25">
      <c r="A1137" s="18">
        <v>2004</v>
      </c>
      <c r="B1137" s="18" t="s">
        <v>37</v>
      </c>
      <c r="C1137" s="18">
        <v>0</v>
      </c>
      <c r="D1137" s="18">
        <v>0</v>
      </c>
      <c r="E1137" s="18">
        <v>0</v>
      </c>
    </row>
    <row r="1138" spans="1:5" x14ac:dyDescent="0.25">
      <c r="A1138" s="18">
        <v>2005</v>
      </c>
      <c r="B1138" s="18" t="s">
        <v>37</v>
      </c>
      <c r="C1138" s="18">
        <v>0</v>
      </c>
      <c r="D1138" s="18">
        <v>0</v>
      </c>
      <c r="E1138" s="18">
        <v>0</v>
      </c>
    </row>
    <row r="1139" spans="1:5" x14ac:dyDescent="0.25">
      <c r="A1139" s="18">
        <v>2006</v>
      </c>
      <c r="B1139" s="18" t="s">
        <v>37</v>
      </c>
      <c r="C1139" s="18">
        <v>0</v>
      </c>
      <c r="D1139" s="18">
        <v>0</v>
      </c>
      <c r="E1139" s="18">
        <v>0</v>
      </c>
    </row>
    <row r="1140" spans="1:5" x14ac:dyDescent="0.25">
      <c r="A1140" s="18">
        <v>2007</v>
      </c>
      <c r="B1140" s="18" t="s">
        <v>37</v>
      </c>
      <c r="C1140" s="18">
        <v>0</v>
      </c>
      <c r="D1140" s="18">
        <v>0</v>
      </c>
      <c r="E1140" s="18">
        <v>0</v>
      </c>
    </row>
    <row r="1141" spans="1:5" x14ac:dyDescent="0.25">
      <c r="A1141" s="18">
        <v>2008</v>
      </c>
      <c r="B1141" s="18" t="s">
        <v>37</v>
      </c>
      <c r="C1141" s="18">
        <v>0</v>
      </c>
      <c r="D1141" s="18">
        <v>0</v>
      </c>
      <c r="E1141" s="18">
        <v>0</v>
      </c>
    </row>
    <row r="1142" spans="1:5" x14ac:dyDescent="0.25">
      <c r="A1142" s="18">
        <v>1950</v>
      </c>
      <c r="B1142" s="18" t="s">
        <v>52</v>
      </c>
      <c r="C1142" s="18">
        <v>0</v>
      </c>
      <c r="D1142" s="18">
        <v>0</v>
      </c>
      <c r="E1142" s="18">
        <v>0</v>
      </c>
    </row>
    <row r="1143" spans="1:5" x14ac:dyDescent="0.25">
      <c r="A1143" s="18">
        <v>1951</v>
      </c>
      <c r="B1143" s="18" t="s">
        <v>52</v>
      </c>
      <c r="C1143" s="18">
        <v>0</v>
      </c>
      <c r="D1143" s="18">
        <v>0</v>
      </c>
      <c r="E1143" s="18">
        <v>0</v>
      </c>
    </row>
    <row r="1144" spans="1:5" x14ac:dyDescent="0.25">
      <c r="A1144" s="18">
        <v>1952</v>
      </c>
      <c r="B1144" s="18" t="s">
        <v>52</v>
      </c>
      <c r="C1144" s="18">
        <v>0</v>
      </c>
      <c r="D1144" s="18">
        <v>0</v>
      </c>
      <c r="E1144" s="18">
        <v>0</v>
      </c>
    </row>
    <row r="1145" spans="1:5" x14ac:dyDescent="0.25">
      <c r="A1145" s="18">
        <v>1953</v>
      </c>
      <c r="B1145" s="18" t="s">
        <v>52</v>
      </c>
      <c r="C1145" s="18">
        <v>0</v>
      </c>
      <c r="D1145" s="18">
        <v>0</v>
      </c>
      <c r="E1145" s="18">
        <v>0</v>
      </c>
    </row>
    <row r="1146" spans="1:5" x14ac:dyDescent="0.25">
      <c r="A1146" s="18">
        <v>1954</v>
      </c>
      <c r="B1146" s="18" t="s">
        <v>52</v>
      </c>
      <c r="C1146" s="18">
        <v>0</v>
      </c>
      <c r="D1146" s="18">
        <v>0</v>
      </c>
      <c r="E1146" s="18">
        <v>0</v>
      </c>
    </row>
    <row r="1147" spans="1:5" x14ac:dyDescent="0.25">
      <c r="A1147" s="18">
        <v>1955</v>
      </c>
      <c r="B1147" s="18" t="s">
        <v>52</v>
      </c>
      <c r="C1147" s="18">
        <v>0</v>
      </c>
      <c r="D1147" s="18">
        <v>0</v>
      </c>
      <c r="E1147" s="18">
        <v>0</v>
      </c>
    </row>
    <row r="1148" spans="1:5" x14ac:dyDescent="0.25">
      <c r="A1148" s="18">
        <v>1956</v>
      </c>
      <c r="B1148" s="18" t="s">
        <v>52</v>
      </c>
      <c r="C1148" s="18">
        <v>0</v>
      </c>
      <c r="D1148" s="18">
        <v>0</v>
      </c>
      <c r="E1148" s="18">
        <v>0</v>
      </c>
    </row>
    <row r="1149" spans="1:5" x14ac:dyDescent="0.25">
      <c r="A1149" s="18">
        <v>1957</v>
      </c>
      <c r="B1149" s="18" t="s">
        <v>52</v>
      </c>
      <c r="C1149" s="18">
        <v>0</v>
      </c>
      <c r="D1149" s="18">
        <v>0</v>
      </c>
      <c r="E1149" s="18">
        <v>0</v>
      </c>
    </row>
    <row r="1150" spans="1:5" x14ac:dyDescent="0.25">
      <c r="A1150" s="18">
        <v>1958</v>
      </c>
      <c r="B1150" s="18" t="s">
        <v>52</v>
      </c>
      <c r="C1150" s="18">
        <v>0</v>
      </c>
      <c r="D1150" s="18">
        <v>0</v>
      </c>
      <c r="E1150" s="18">
        <v>0</v>
      </c>
    </row>
    <row r="1151" spans="1:5" x14ac:dyDescent="0.25">
      <c r="A1151" s="18">
        <v>1959</v>
      </c>
      <c r="B1151" s="18" t="s">
        <v>52</v>
      </c>
      <c r="C1151" s="18">
        <v>0</v>
      </c>
      <c r="D1151" s="18">
        <v>0</v>
      </c>
      <c r="E1151" s="18">
        <v>0</v>
      </c>
    </row>
    <row r="1152" spans="1:5" x14ac:dyDescent="0.25">
      <c r="A1152" s="18">
        <v>1960</v>
      </c>
      <c r="B1152" s="18" t="s">
        <v>52</v>
      </c>
      <c r="C1152" s="18">
        <v>0</v>
      </c>
      <c r="D1152" s="18">
        <v>0</v>
      </c>
      <c r="E1152" s="18">
        <v>0</v>
      </c>
    </row>
    <row r="1153" spans="1:5" x14ac:dyDescent="0.25">
      <c r="A1153" s="18">
        <v>1961</v>
      </c>
      <c r="B1153" s="18" t="s">
        <v>52</v>
      </c>
      <c r="C1153" s="18">
        <v>0</v>
      </c>
      <c r="D1153" s="18">
        <v>0</v>
      </c>
      <c r="E1153" s="18">
        <v>0</v>
      </c>
    </row>
    <row r="1154" spans="1:5" x14ac:dyDescent="0.25">
      <c r="A1154" s="18">
        <v>1962</v>
      </c>
      <c r="B1154" s="18" t="s">
        <v>52</v>
      </c>
      <c r="C1154" s="18">
        <v>0</v>
      </c>
      <c r="D1154" s="18">
        <v>0</v>
      </c>
      <c r="E1154" s="18">
        <v>0</v>
      </c>
    </row>
    <row r="1155" spans="1:5" x14ac:dyDescent="0.25">
      <c r="A1155" s="18">
        <v>1963</v>
      </c>
      <c r="B1155" s="18" t="s">
        <v>52</v>
      </c>
      <c r="C1155" s="18">
        <v>0</v>
      </c>
      <c r="D1155" s="18">
        <v>0</v>
      </c>
      <c r="E1155" s="18">
        <v>0</v>
      </c>
    </row>
    <row r="1156" spans="1:5" x14ac:dyDescent="0.25">
      <c r="A1156" s="18">
        <v>1964</v>
      </c>
      <c r="B1156" s="18" t="s">
        <v>52</v>
      </c>
      <c r="C1156" s="18">
        <v>0</v>
      </c>
      <c r="D1156" s="18">
        <v>0</v>
      </c>
      <c r="E1156" s="18">
        <v>0</v>
      </c>
    </row>
    <row r="1157" spans="1:5" x14ac:dyDescent="0.25">
      <c r="A1157" s="18">
        <v>1965</v>
      </c>
      <c r="B1157" s="18" t="s">
        <v>52</v>
      </c>
      <c r="C1157" s="18">
        <v>0</v>
      </c>
      <c r="D1157" s="18">
        <v>0</v>
      </c>
      <c r="E1157" s="18">
        <v>0</v>
      </c>
    </row>
    <row r="1158" spans="1:5" x14ac:dyDescent="0.25">
      <c r="A1158" s="18">
        <v>1966</v>
      </c>
      <c r="B1158" s="18" t="s">
        <v>52</v>
      </c>
      <c r="C1158" s="18">
        <v>0</v>
      </c>
      <c r="D1158" s="18">
        <v>0</v>
      </c>
      <c r="E1158" s="18">
        <v>0</v>
      </c>
    </row>
    <row r="1159" spans="1:5" x14ac:dyDescent="0.25">
      <c r="A1159" s="18">
        <v>1967</v>
      </c>
      <c r="B1159" s="18" t="s">
        <v>52</v>
      </c>
      <c r="C1159" s="18">
        <v>0</v>
      </c>
      <c r="D1159" s="18">
        <v>0</v>
      </c>
      <c r="E1159" s="18">
        <v>0</v>
      </c>
    </row>
    <row r="1160" spans="1:5" x14ac:dyDescent="0.25">
      <c r="A1160" s="18">
        <v>1968</v>
      </c>
      <c r="B1160" s="18" t="s">
        <v>52</v>
      </c>
      <c r="C1160" s="18">
        <v>0</v>
      </c>
      <c r="D1160" s="18">
        <v>0</v>
      </c>
      <c r="E1160" s="18">
        <v>0</v>
      </c>
    </row>
    <row r="1161" spans="1:5" x14ac:dyDescent="0.25">
      <c r="A1161" s="18">
        <v>1969</v>
      </c>
      <c r="B1161" s="18" t="s">
        <v>52</v>
      </c>
      <c r="C1161" s="18">
        <v>0</v>
      </c>
      <c r="D1161" s="18">
        <v>0</v>
      </c>
      <c r="E1161" s="18">
        <v>0</v>
      </c>
    </row>
    <row r="1162" spans="1:5" x14ac:dyDescent="0.25">
      <c r="A1162" s="18">
        <v>1970</v>
      </c>
      <c r="B1162" s="18" t="s">
        <v>52</v>
      </c>
      <c r="C1162" s="18">
        <v>0</v>
      </c>
      <c r="D1162" s="18">
        <v>0</v>
      </c>
      <c r="E1162" s="18">
        <v>0</v>
      </c>
    </row>
    <row r="1163" spans="1:5" x14ac:dyDescent="0.25">
      <c r="A1163" s="18">
        <v>1971</v>
      </c>
      <c r="B1163" s="18" t="s">
        <v>52</v>
      </c>
      <c r="C1163" s="18">
        <v>0</v>
      </c>
      <c r="D1163" s="18">
        <v>0</v>
      </c>
      <c r="E1163" s="18">
        <v>0</v>
      </c>
    </row>
    <row r="1164" spans="1:5" x14ac:dyDescent="0.25">
      <c r="A1164" s="18">
        <v>1972</v>
      </c>
      <c r="B1164" s="18" t="s">
        <v>52</v>
      </c>
      <c r="C1164" s="18">
        <v>0</v>
      </c>
      <c r="D1164" s="18">
        <v>0</v>
      </c>
      <c r="E1164" s="18">
        <v>0</v>
      </c>
    </row>
    <row r="1165" spans="1:5" x14ac:dyDescent="0.25">
      <c r="A1165" s="18">
        <v>1973</v>
      </c>
      <c r="B1165" s="18" t="s">
        <v>52</v>
      </c>
      <c r="C1165" s="18">
        <v>0</v>
      </c>
      <c r="D1165" s="18">
        <v>0</v>
      </c>
      <c r="E1165" s="18">
        <v>0</v>
      </c>
    </row>
    <row r="1166" spans="1:5" x14ac:dyDescent="0.25">
      <c r="A1166" s="18">
        <v>1974</v>
      </c>
      <c r="B1166" s="18" t="s">
        <v>52</v>
      </c>
      <c r="C1166" s="18">
        <v>0</v>
      </c>
      <c r="D1166" s="18">
        <v>0</v>
      </c>
      <c r="E1166" s="18">
        <v>0</v>
      </c>
    </row>
    <row r="1167" spans="1:5" x14ac:dyDescent="0.25">
      <c r="A1167" s="18">
        <v>1975</v>
      </c>
      <c r="B1167" s="18" t="s">
        <v>52</v>
      </c>
      <c r="C1167" s="18">
        <v>1203</v>
      </c>
      <c r="D1167" s="18">
        <v>1416</v>
      </c>
      <c r="E1167" s="18">
        <v>2619</v>
      </c>
    </row>
    <row r="1168" spans="1:5" x14ac:dyDescent="0.25">
      <c r="A1168" s="18">
        <v>1976</v>
      </c>
      <c r="B1168" s="18" t="s">
        <v>52</v>
      </c>
      <c r="C1168" s="18">
        <v>0</v>
      </c>
      <c r="D1168" s="18">
        <v>0</v>
      </c>
      <c r="E1168" s="18">
        <v>0</v>
      </c>
    </row>
    <row r="1169" spans="1:5" x14ac:dyDescent="0.25">
      <c r="A1169" s="18">
        <v>1977</v>
      </c>
      <c r="B1169" s="18" t="s">
        <v>52</v>
      </c>
      <c r="C1169" s="18">
        <v>0</v>
      </c>
      <c r="D1169" s="18">
        <v>0</v>
      </c>
      <c r="E1169" s="18">
        <v>0</v>
      </c>
    </row>
    <row r="1170" spans="1:5" x14ac:dyDescent="0.25">
      <c r="A1170" s="18">
        <v>1978</v>
      </c>
      <c r="B1170" s="18" t="s">
        <v>52</v>
      </c>
      <c r="C1170" s="18">
        <v>0</v>
      </c>
      <c r="D1170" s="18">
        <v>0</v>
      </c>
      <c r="E1170" s="18">
        <v>0</v>
      </c>
    </row>
    <row r="1171" spans="1:5" x14ac:dyDescent="0.25">
      <c r="A1171" s="18">
        <v>1979</v>
      </c>
      <c r="B1171" s="18" t="s">
        <v>52</v>
      </c>
      <c r="C1171" s="18">
        <v>0</v>
      </c>
      <c r="D1171" s="18">
        <v>0</v>
      </c>
      <c r="E1171" s="18">
        <v>0</v>
      </c>
    </row>
    <row r="1172" spans="1:5" x14ac:dyDescent="0.25">
      <c r="A1172" s="18">
        <v>1980</v>
      </c>
      <c r="B1172" s="18" t="s">
        <v>52</v>
      </c>
      <c r="C1172" s="18">
        <v>2093</v>
      </c>
      <c r="D1172" s="18">
        <v>801</v>
      </c>
      <c r="E1172" s="18">
        <v>2886</v>
      </c>
    </row>
    <row r="1173" spans="1:5" x14ac:dyDescent="0.25">
      <c r="A1173" s="18">
        <v>1981</v>
      </c>
      <c r="B1173" s="18" t="s">
        <v>52</v>
      </c>
      <c r="C1173" s="18">
        <v>0</v>
      </c>
      <c r="D1173" s="18">
        <v>0</v>
      </c>
      <c r="E1173" s="18">
        <v>0</v>
      </c>
    </row>
    <row r="1174" spans="1:5" x14ac:dyDescent="0.25">
      <c r="A1174" s="18">
        <v>1982</v>
      </c>
      <c r="B1174" s="18" t="s">
        <v>52</v>
      </c>
      <c r="C1174" s="18">
        <v>0</v>
      </c>
      <c r="D1174" s="18">
        <v>0</v>
      </c>
      <c r="E1174" s="18">
        <v>0</v>
      </c>
    </row>
    <row r="1175" spans="1:5" x14ac:dyDescent="0.25">
      <c r="A1175" s="18">
        <v>1983</v>
      </c>
      <c r="B1175" s="18" t="s">
        <v>52</v>
      </c>
      <c r="C1175" s="18">
        <v>0</v>
      </c>
      <c r="D1175" s="18">
        <v>0</v>
      </c>
      <c r="E1175" s="18">
        <v>0</v>
      </c>
    </row>
    <row r="1176" spans="1:5" x14ac:dyDescent="0.25">
      <c r="A1176" s="18">
        <v>1984</v>
      </c>
      <c r="B1176" s="18" t="s">
        <v>52</v>
      </c>
      <c r="C1176" s="18">
        <v>0</v>
      </c>
      <c r="D1176" s="18">
        <v>0</v>
      </c>
      <c r="E1176" s="18">
        <v>0</v>
      </c>
    </row>
    <row r="1177" spans="1:5" x14ac:dyDescent="0.25">
      <c r="A1177" s="18">
        <v>1985</v>
      </c>
      <c r="B1177" s="18" t="s">
        <v>52</v>
      </c>
      <c r="C1177" s="18">
        <v>1329</v>
      </c>
      <c r="D1177" s="18">
        <v>1423</v>
      </c>
      <c r="E1177" s="18">
        <v>2751</v>
      </c>
    </row>
    <row r="1178" spans="1:5" x14ac:dyDescent="0.25">
      <c r="A1178" s="18">
        <v>1986</v>
      </c>
      <c r="B1178" s="18" t="s">
        <v>52</v>
      </c>
      <c r="C1178" s="18">
        <v>0</v>
      </c>
      <c r="D1178" s="18">
        <v>0</v>
      </c>
      <c r="E1178" s="18">
        <v>0</v>
      </c>
    </row>
    <row r="1179" spans="1:5" x14ac:dyDescent="0.25">
      <c r="A1179" s="18">
        <v>1987</v>
      </c>
      <c r="B1179" s="18" t="s">
        <v>52</v>
      </c>
      <c r="C1179" s="18">
        <v>0</v>
      </c>
      <c r="D1179" s="18">
        <v>0</v>
      </c>
      <c r="E1179" s="18">
        <v>0</v>
      </c>
    </row>
    <row r="1180" spans="1:5" x14ac:dyDescent="0.25">
      <c r="A1180" s="18">
        <v>1988</v>
      </c>
      <c r="B1180" s="18" t="s">
        <v>52</v>
      </c>
      <c r="C1180" s="18">
        <v>0</v>
      </c>
      <c r="D1180" s="18">
        <v>0</v>
      </c>
      <c r="E1180" s="18">
        <v>0</v>
      </c>
    </row>
    <row r="1181" spans="1:5" x14ac:dyDescent="0.25">
      <c r="A1181" s="18">
        <v>1989</v>
      </c>
      <c r="B1181" s="18" t="s">
        <v>52</v>
      </c>
      <c r="C1181" s="18">
        <v>0</v>
      </c>
      <c r="D1181" s="18">
        <v>0</v>
      </c>
      <c r="E1181" s="18">
        <v>0</v>
      </c>
    </row>
    <row r="1182" spans="1:5" x14ac:dyDescent="0.25">
      <c r="A1182" s="18">
        <v>1990</v>
      </c>
      <c r="B1182" s="18" t="s">
        <v>52</v>
      </c>
      <c r="C1182" s="18">
        <v>1549</v>
      </c>
      <c r="D1182" s="18">
        <v>1738</v>
      </c>
      <c r="E1182" s="18">
        <v>3286</v>
      </c>
    </row>
    <row r="1183" spans="1:5" x14ac:dyDescent="0.25">
      <c r="A1183" s="18">
        <v>1991</v>
      </c>
      <c r="B1183" s="18" t="s">
        <v>52</v>
      </c>
      <c r="C1183" s="18">
        <v>0</v>
      </c>
      <c r="D1183" s="18">
        <v>0</v>
      </c>
      <c r="E1183" s="18">
        <v>0</v>
      </c>
    </row>
    <row r="1184" spans="1:5" x14ac:dyDescent="0.25">
      <c r="A1184" s="18">
        <v>1992</v>
      </c>
      <c r="B1184" s="18" t="s">
        <v>52</v>
      </c>
      <c r="C1184" s="18">
        <v>0</v>
      </c>
      <c r="D1184" s="18">
        <v>0</v>
      </c>
      <c r="E1184" s="18">
        <v>0</v>
      </c>
    </row>
    <row r="1185" spans="1:5" x14ac:dyDescent="0.25">
      <c r="A1185" s="18">
        <v>1993</v>
      </c>
      <c r="B1185" s="18" t="s">
        <v>52</v>
      </c>
      <c r="C1185" s="18">
        <v>0</v>
      </c>
      <c r="D1185" s="18">
        <v>0</v>
      </c>
      <c r="E1185" s="18">
        <v>0</v>
      </c>
    </row>
    <row r="1186" spans="1:5" x14ac:dyDescent="0.25">
      <c r="A1186" s="18">
        <v>1994</v>
      </c>
      <c r="B1186" s="18" t="s">
        <v>52</v>
      </c>
      <c r="C1186" s="18">
        <v>0</v>
      </c>
      <c r="D1186" s="18">
        <v>0</v>
      </c>
      <c r="E1186" s="18">
        <v>0</v>
      </c>
    </row>
    <row r="1187" spans="1:5" x14ac:dyDescent="0.25">
      <c r="A1187" s="18">
        <v>1995</v>
      </c>
      <c r="B1187" s="18" t="s">
        <v>52</v>
      </c>
      <c r="C1187" s="18">
        <v>0</v>
      </c>
      <c r="D1187" s="18">
        <v>0</v>
      </c>
      <c r="E1187" s="18">
        <v>0</v>
      </c>
    </row>
    <row r="1188" spans="1:5" x14ac:dyDescent="0.25">
      <c r="A1188" s="18">
        <v>1996</v>
      </c>
      <c r="B1188" s="18" t="s">
        <v>52</v>
      </c>
      <c r="C1188" s="18">
        <v>0</v>
      </c>
      <c r="D1188" s="18">
        <v>0</v>
      </c>
      <c r="E1188" s="18">
        <v>0</v>
      </c>
    </row>
    <row r="1189" spans="1:5" x14ac:dyDescent="0.25">
      <c r="A1189" s="18">
        <v>1997</v>
      </c>
      <c r="B1189" s="18" t="s">
        <v>52</v>
      </c>
      <c r="C1189" s="18">
        <v>0</v>
      </c>
      <c r="D1189" s="18">
        <v>0</v>
      </c>
      <c r="E1189" s="18">
        <v>0</v>
      </c>
    </row>
    <row r="1190" spans="1:5" x14ac:dyDescent="0.25">
      <c r="A1190" s="18">
        <v>1998</v>
      </c>
      <c r="B1190" s="18" t="s">
        <v>52</v>
      </c>
      <c r="C1190" s="18">
        <v>0</v>
      </c>
      <c r="D1190" s="18">
        <v>0</v>
      </c>
      <c r="E1190" s="18">
        <v>0</v>
      </c>
    </row>
    <row r="1191" spans="1:5" x14ac:dyDescent="0.25">
      <c r="A1191" s="18">
        <v>1999</v>
      </c>
      <c r="B1191" s="18" t="s">
        <v>52</v>
      </c>
      <c r="C1191" s="18">
        <v>0</v>
      </c>
      <c r="D1191" s="18">
        <v>0</v>
      </c>
      <c r="E1191" s="18">
        <v>0</v>
      </c>
    </row>
    <row r="1192" spans="1:5" x14ac:dyDescent="0.25">
      <c r="A1192" s="18">
        <v>2000</v>
      </c>
      <c r="B1192" s="18" t="s">
        <v>52</v>
      </c>
      <c r="C1192" s="18">
        <v>1953</v>
      </c>
      <c r="D1192" s="18">
        <v>1908</v>
      </c>
      <c r="E1192" s="18">
        <v>3862</v>
      </c>
    </row>
    <row r="1193" spans="1:5" x14ac:dyDescent="0.25">
      <c r="A1193" s="18">
        <v>2001</v>
      </c>
      <c r="B1193" s="18" t="s">
        <v>52</v>
      </c>
      <c r="C1193" s="18">
        <v>0</v>
      </c>
      <c r="D1193" s="18">
        <v>0</v>
      </c>
      <c r="E1193" s="18">
        <v>0</v>
      </c>
    </row>
    <row r="1194" spans="1:5" x14ac:dyDescent="0.25">
      <c r="A1194" s="18">
        <v>2002</v>
      </c>
      <c r="B1194" s="18" t="s">
        <v>52</v>
      </c>
      <c r="C1194" s="18">
        <v>0</v>
      </c>
      <c r="D1194" s="18">
        <v>0</v>
      </c>
      <c r="E1194" s="18">
        <v>0</v>
      </c>
    </row>
    <row r="1195" spans="1:5" x14ac:dyDescent="0.25">
      <c r="A1195" s="18">
        <v>2003</v>
      </c>
      <c r="B1195" s="18" t="s">
        <v>52</v>
      </c>
      <c r="C1195" s="18">
        <v>0</v>
      </c>
      <c r="D1195" s="18">
        <v>0</v>
      </c>
      <c r="E1195" s="18">
        <v>0</v>
      </c>
    </row>
    <row r="1196" spans="1:5" x14ac:dyDescent="0.25">
      <c r="A1196" s="18">
        <v>2004</v>
      </c>
      <c r="B1196" s="18" t="s">
        <v>52</v>
      </c>
      <c r="C1196" s="18">
        <v>0</v>
      </c>
      <c r="D1196" s="18">
        <v>0</v>
      </c>
      <c r="E1196" s="18">
        <v>0</v>
      </c>
    </row>
    <row r="1197" spans="1:5" x14ac:dyDescent="0.25">
      <c r="A1197" s="18">
        <v>2005</v>
      </c>
      <c r="B1197" s="18" t="s">
        <v>52</v>
      </c>
      <c r="C1197" s="18">
        <v>0</v>
      </c>
      <c r="D1197" s="18">
        <v>0</v>
      </c>
      <c r="E1197" s="18">
        <v>0</v>
      </c>
    </row>
    <row r="1198" spans="1:5" x14ac:dyDescent="0.25">
      <c r="A1198" s="18">
        <v>2006</v>
      </c>
      <c r="B1198" s="18" t="s">
        <v>52</v>
      </c>
      <c r="C1198" s="18">
        <v>0</v>
      </c>
      <c r="D1198" s="18">
        <v>0</v>
      </c>
      <c r="E1198" s="18">
        <v>0</v>
      </c>
    </row>
    <row r="1199" spans="1:5" x14ac:dyDescent="0.25">
      <c r="A1199" s="18">
        <v>2007</v>
      </c>
      <c r="B1199" s="18" t="s">
        <v>52</v>
      </c>
      <c r="C1199" s="18">
        <v>0</v>
      </c>
      <c r="D1199" s="18">
        <v>0</v>
      </c>
      <c r="E1199" s="18">
        <v>0</v>
      </c>
    </row>
    <row r="1200" spans="1:5" x14ac:dyDescent="0.25">
      <c r="A1200" s="18">
        <v>2008</v>
      </c>
      <c r="B1200" s="18" t="s">
        <v>52</v>
      </c>
      <c r="C1200" s="18">
        <v>0</v>
      </c>
      <c r="D1200" s="18">
        <v>0</v>
      </c>
      <c r="E1200" s="18">
        <v>0</v>
      </c>
    </row>
    <row r="1201" spans="1:5" x14ac:dyDescent="0.25">
      <c r="A1201" s="18">
        <v>1950</v>
      </c>
      <c r="B1201" s="18" t="s">
        <v>56</v>
      </c>
      <c r="C1201" s="18">
        <v>0</v>
      </c>
      <c r="D1201" s="18">
        <v>0</v>
      </c>
      <c r="E1201" s="18">
        <v>0</v>
      </c>
    </row>
    <row r="1202" spans="1:5" x14ac:dyDescent="0.25">
      <c r="A1202" s="18">
        <v>1951</v>
      </c>
      <c r="B1202" s="18" t="s">
        <v>56</v>
      </c>
      <c r="C1202" s="18">
        <v>0</v>
      </c>
      <c r="D1202" s="18">
        <v>0</v>
      </c>
      <c r="E1202" s="18">
        <v>0</v>
      </c>
    </row>
    <row r="1203" spans="1:5" x14ac:dyDescent="0.25">
      <c r="A1203" s="18">
        <v>1952</v>
      </c>
      <c r="B1203" s="18" t="s">
        <v>56</v>
      </c>
      <c r="C1203" s="18">
        <v>0</v>
      </c>
      <c r="D1203" s="18">
        <v>0</v>
      </c>
      <c r="E1203" s="18">
        <v>0</v>
      </c>
    </row>
    <row r="1204" spans="1:5" x14ac:dyDescent="0.25">
      <c r="A1204" s="18">
        <v>1953</v>
      </c>
      <c r="B1204" s="18" t="s">
        <v>56</v>
      </c>
      <c r="C1204" s="18">
        <v>0</v>
      </c>
      <c r="D1204" s="18">
        <v>0</v>
      </c>
      <c r="E1204" s="18">
        <v>0</v>
      </c>
    </row>
    <row r="1205" spans="1:5" x14ac:dyDescent="0.25">
      <c r="A1205" s="18">
        <v>1954</v>
      </c>
      <c r="B1205" s="18" t="s">
        <v>56</v>
      </c>
      <c r="C1205" s="18">
        <v>0</v>
      </c>
      <c r="D1205" s="18">
        <v>0</v>
      </c>
      <c r="E1205" s="18">
        <v>0</v>
      </c>
    </row>
    <row r="1206" spans="1:5" x14ac:dyDescent="0.25">
      <c r="A1206" s="18">
        <v>1955</v>
      </c>
      <c r="B1206" s="18" t="s">
        <v>56</v>
      </c>
      <c r="C1206" s="18">
        <v>0</v>
      </c>
      <c r="D1206" s="18">
        <v>0</v>
      </c>
      <c r="E1206" s="18">
        <v>0</v>
      </c>
    </row>
    <row r="1207" spans="1:5" x14ac:dyDescent="0.25">
      <c r="A1207" s="18">
        <v>1956</v>
      </c>
      <c r="B1207" s="18" t="s">
        <v>56</v>
      </c>
      <c r="C1207" s="18">
        <v>0</v>
      </c>
      <c r="D1207" s="18">
        <v>0</v>
      </c>
      <c r="E1207" s="18">
        <v>0</v>
      </c>
    </row>
    <row r="1208" spans="1:5" x14ac:dyDescent="0.25">
      <c r="A1208" s="18">
        <v>1957</v>
      </c>
      <c r="B1208" s="18" t="s">
        <v>56</v>
      </c>
      <c r="C1208" s="18">
        <v>0</v>
      </c>
      <c r="D1208" s="18">
        <v>0</v>
      </c>
      <c r="E1208" s="18">
        <v>0</v>
      </c>
    </row>
    <row r="1209" spans="1:5" x14ac:dyDescent="0.25">
      <c r="A1209" s="18">
        <v>1958</v>
      </c>
      <c r="B1209" s="18" t="s">
        <v>56</v>
      </c>
      <c r="C1209" s="18">
        <v>0</v>
      </c>
      <c r="D1209" s="18">
        <v>0</v>
      </c>
      <c r="E1209" s="18">
        <v>0</v>
      </c>
    </row>
    <row r="1210" spans="1:5" x14ac:dyDescent="0.25">
      <c r="A1210" s="18">
        <v>1959</v>
      </c>
      <c r="B1210" s="18" t="s">
        <v>56</v>
      </c>
      <c r="C1210" s="18">
        <v>0</v>
      </c>
      <c r="D1210" s="18">
        <v>0</v>
      </c>
      <c r="E1210" s="18">
        <v>0</v>
      </c>
    </row>
    <row r="1211" spans="1:5" x14ac:dyDescent="0.25">
      <c r="A1211" s="18">
        <v>1960</v>
      </c>
      <c r="B1211" s="18" t="s">
        <v>56</v>
      </c>
      <c r="C1211" s="18">
        <v>0</v>
      </c>
      <c r="D1211" s="18">
        <v>0</v>
      </c>
      <c r="E1211" s="18">
        <v>0</v>
      </c>
    </row>
    <row r="1212" spans="1:5" x14ac:dyDescent="0.25">
      <c r="A1212" s="18">
        <v>1961</v>
      </c>
      <c r="B1212" s="18" t="s">
        <v>56</v>
      </c>
      <c r="C1212" s="18">
        <v>0</v>
      </c>
      <c r="D1212" s="18">
        <v>0</v>
      </c>
      <c r="E1212" s="18">
        <v>0</v>
      </c>
    </row>
    <row r="1213" spans="1:5" x14ac:dyDescent="0.25">
      <c r="A1213" s="18">
        <v>1962</v>
      </c>
      <c r="B1213" s="18" t="s">
        <v>56</v>
      </c>
      <c r="C1213" s="18">
        <v>0</v>
      </c>
      <c r="D1213" s="18">
        <v>0</v>
      </c>
      <c r="E1213" s="18">
        <v>0</v>
      </c>
    </row>
    <row r="1214" spans="1:5" x14ac:dyDescent="0.25">
      <c r="A1214" s="18">
        <v>1963</v>
      </c>
      <c r="B1214" s="18" t="s">
        <v>56</v>
      </c>
      <c r="C1214" s="18">
        <v>0</v>
      </c>
      <c r="D1214" s="18">
        <v>0</v>
      </c>
      <c r="E1214" s="18">
        <v>0</v>
      </c>
    </row>
    <row r="1215" spans="1:5" x14ac:dyDescent="0.25">
      <c r="A1215" s="18">
        <v>1964</v>
      </c>
      <c r="B1215" s="18" t="s">
        <v>56</v>
      </c>
      <c r="C1215" s="18">
        <v>0</v>
      </c>
      <c r="D1215" s="18">
        <v>0</v>
      </c>
      <c r="E1215" s="18">
        <v>0</v>
      </c>
    </row>
    <row r="1216" spans="1:5" x14ac:dyDescent="0.25">
      <c r="A1216" s="18">
        <v>1965</v>
      </c>
      <c r="B1216" s="18" t="s">
        <v>56</v>
      </c>
      <c r="C1216" s="18">
        <v>0</v>
      </c>
      <c r="D1216" s="18">
        <v>0</v>
      </c>
      <c r="E1216" s="18">
        <v>0</v>
      </c>
    </row>
    <row r="1217" spans="1:5" x14ac:dyDescent="0.25">
      <c r="A1217" s="18">
        <v>1966</v>
      </c>
      <c r="B1217" s="18" t="s">
        <v>56</v>
      </c>
      <c r="C1217" s="18">
        <v>0</v>
      </c>
      <c r="D1217" s="18">
        <v>0</v>
      </c>
      <c r="E1217" s="18">
        <v>0</v>
      </c>
    </row>
    <row r="1218" spans="1:5" x14ac:dyDescent="0.25">
      <c r="A1218" s="18">
        <v>1967</v>
      </c>
      <c r="B1218" s="18" t="s">
        <v>56</v>
      </c>
      <c r="C1218" s="18">
        <v>0</v>
      </c>
      <c r="D1218" s="18">
        <v>0</v>
      </c>
      <c r="E1218" s="18">
        <v>0</v>
      </c>
    </row>
    <row r="1219" spans="1:5" x14ac:dyDescent="0.25">
      <c r="A1219" s="18">
        <v>1968</v>
      </c>
      <c r="B1219" s="18" t="s">
        <v>56</v>
      </c>
      <c r="C1219" s="18">
        <v>0</v>
      </c>
      <c r="D1219" s="18">
        <v>0</v>
      </c>
      <c r="E1219" s="18">
        <v>0</v>
      </c>
    </row>
    <row r="1220" spans="1:5" x14ac:dyDescent="0.25">
      <c r="A1220" s="18">
        <v>1969</v>
      </c>
      <c r="B1220" s="18" t="s">
        <v>56</v>
      </c>
      <c r="C1220" s="18">
        <v>0</v>
      </c>
      <c r="D1220" s="18">
        <v>0</v>
      </c>
      <c r="E1220" s="18">
        <v>0</v>
      </c>
    </row>
    <row r="1221" spans="1:5" x14ac:dyDescent="0.25">
      <c r="A1221" s="18">
        <v>1970</v>
      </c>
      <c r="B1221" s="18" t="s">
        <v>56</v>
      </c>
      <c r="C1221" s="18">
        <v>0</v>
      </c>
      <c r="D1221" s="18">
        <v>0</v>
      </c>
      <c r="E1221" s="18">
        <v>0</v>
      </c>
    </row>
    <row r="1222" spans="1:5" x14ac:dyDescent="0.25">
      <c r="A1222" s="18">
        <v>1971</v>
      </c>
      <c r="B1222" s="18" t="s">
        <v>56</v>
      </c>
      <c r="C1222" s="18">
        <v>0</v>
      </c>
      <c r="D1222" s="18">
        <v>0</v>
      </c>
      <c r="E1222" s="18">
        <v>0</v>
      </c>
    </row>
    <row r="1223" spans="1:5" x14ac:dyDescent="0.25">
      <c r="A1223" s="18">
        <v>1972</v>
      </c>
      <c r="B1223" s="18" t="s">
        <v>56</v>
      </c>
      <c r="C1223" s="18">
        <v>0</v>
      </c>
      <c r="D1223" s="18">
        <v>0</v>
      </c>
      <c r="E1223" s="18">
        <v>0</v>
      </c>
    </row>
    <row r="1224" spans="1:5" x14ac:dyDescent="0.25">
      <c r="A1224" s="18">
        <v>1973</v>
      </c>
      <c r="B1224" s="18" t="s">
        <v>56</v>
      </c>
      <c r="C1224" s="18">
        <v>0</v>
      </c>
      <c r="D1224" s="18">
        <v>0</v>
      </c>
      <c r="E1224" s="18">
        <v>0</v>
      </c>
    </row>
    <row r="1225" spans="1:5" x14ac:dyDescent="0.25">
      <c r="A1225" s="18">
        <v>1974</v>
      </c>
      <c r="B1225" s="18" t="s">
        <v>56</v>
      </c>
      <c r="C1225" s="18">
        <v>0</v>
      </c>
      <c r="D1225" s="18">
        <v>0</v>
      </c>
      <c r="E1225" s="18">
        <v>0</v>
      </c>
    </row>
    <row r="1226" spans="1:5" x14ac:dyDescent="0.25">
      <c r="A1226" s="18">
        <v>1975</v>
      </c>
      <c r="B1226" s="18" t="s">
        <v>56</v>
      </c>
      <c r="C1226" s="18">
        <v>1566</v>
      </c>
      <c r="D1226" s="18">
        <v>1961</v>
      </c>
      <c r="E1226" s="18">
        <v>3524</v>
      </c>
    </row>
    <row r="1227" spans="1:5" x14ac:dyDescent="0.25">
      <c r="A1227" s="18">
        <v>1976</v>
      </c>
      <c r="B1227" s="18" t="s">
        <v>56</v>
      </c>
      <c r="C1227" s="18">
        <v>0</v>
      </c>
      <c r="D1227" s="18">
        <v>0</v>
      </c>
      <c r="E1227" s="18">
        <v>0</v>
      </c>
    </row>
    <row r="1228" spans="1:5" x14ac:dyDescent="0.25">
      <c r="A1228" s="18">
        <v>1977</v>
      </c>
      <c r="B1228" s="18" t="s">
        <v>56</v>
      </c>
      <c r="C1228" s="18">
        <v>0</v>
      </c>
      <c r="D1228" s="18">
        <v>0</v>
      </c>
      <c r="E1228" s="18">
        <v>0</v>
      </c>
    </row>
    <row r="1229" spans="1:5" x14ac:dyDescent="0.25">
      <c r="A1229" s="18">
        <v>1978</v>
      </c>
      <c r="B1229" s="18" t="s">
        <v>56</v>
      </c>
      <c r="C1229" s="18">
        <v>0</v>
      </c>
      <c r="D1229" s="18">
        <v>0</v>
      </c>
      <c r="E1229" s="18">
        <v>0</v>
      </c>
    </row>
    <row r="1230" spans="1:5" x14ac:dyDescent="0.25">
      <c r="A1230" s="18">
        <v>1979</v>
      </c>
      <c r="B1230" s="18" t="s">
        <v>56</v>
      </c>
      <c r="C1230" s="18">
        <v>0</v>
      </c>
      <c r="D1230" s="18">
        <v>0</v>
      </c>
      <c r="E1230" s="18">
        <v>0</v>
      </c>
    </row>
    <row r="1231" spans="1:5" x14ac:dyDescent="0.25">
      <c r="A1231" s="18">
        <v>1980</v>
      </c>
      <c r="B1231" s="18" t="s">
        <v>56</v>
      </c>
      <c r="C1231" s="18">
        <v>1615</v>
      </c>
      <c r="D1231" s="18">
        <v>1801</v>
      </c>
      <c r="E1231" s="18">
        <v>3414</v>
      </c>
    </row>
    <row r="1232" spans="1:5" x14ac:dyDescent="0.25">
      <c r="A1232" s="18">
        <v>1981</v>
      </c>
      <c r="B1232" s="18" t="s">
        <v>56</v>
      </c>
      <c r="C1232" s="18">
        <v>0</v>
      </c>
      <c r="D1232" s="18">
        <v>0</v>
      </c>
      <c r="E1232" s="18">
        <v>0</v>
      </c>
    </row>
    <row r="1233" spans="1:5" x14ac:dyDescent="0.25">
      <c r="A1233" s="18">
        <v>1982</v>
      </c>
      <c r="B1233" s="18" t="s">
        <v>56</v>
      </c>
      <c r="C1233" s="18">
        <v>0</v>
      </c>
      <c r="D1233" s="18">
        <v>0</v>
      </c>
      <c r="E1233" s="18">
        <v>0</v>
      </c>
    </row>
    <row r="1234" spans="1:5" x14ac:dyDescent="0.25">
      <c r="A1234" s="18">
        <v>1983</v>
      </c>
      <c r="B1234" s="18" t="s">
        <v>56</v>
      </c>
      <c r="C1234" s="18">
        <v>0</v>
      </c>
      <c r="D1234" s="18">
        <v>0</v>
      </c>
      <c r="E1234" s="18">
        <v>0</v>
      </c>
    </row>
    <row r="1235" spans="1:5" x14ac:dyDescent="0.25">
      <c r="A1235" s="18">
        <v>1984</v>
      </c>
      <c r="B1235" s="18" t="s">
        <v>56</v>
      </c>
      <c r="C1235" s="18">
        <v>0</v>
      </c>
      <c r="D1235" s="18">
        <v>0</v>
      </c>
      <c r="E1235" s="18">
        <v>0</v>
      </c>
    </row>
    <row r="1236" spans="1:5" x14ac:dyDescent="0.25">
      <c r="A1236" s="18">
        <v>1985</v>
      </c>
      <c r="B1236" s="18" t="s">
        <v>56</v>
      </c>
      <c r="C1236" s="18">
        <v>1865</v>
      </c>
      <c r="D1236" s="18">
        <v>1900</v>
      </c>
      <c r="E1236" s="18">
        <v>3763</v>
      </c>
    </row>
    <row r="1237" spans="1:5" x14ac:dyDescent="0.25">
      <c r="A1237" s="18">
        <v>1986</v>
      </c>
      <c r="B1237" s="18" t="s">
        <v>56</v>
      </c>
      <c r="C1237" s="18">
        <v>0</v>
      </c>
      <c r="D1237" s="18">
        <v>0</v>
      </c>
      <c r="E1237" s="18">
        <v>0</v>
      </c>
    </row>
    <row r="1238" spans="1:5" x14ac:dyDescent="0.25">
      <c r="A1238" s="18">
        <v>1987</v>
      </c>
      <c r="B1238" s="18" t="s">
        <v>56</v>
      </c>
      <c r="C1238" s="18">
        <v>0</v>
      </c>
      <c r="D1238" s="18">
        <v>0</v>
      </c>
      <c r="E1238" s="18">
        <v>0</v>
      </c>
    </row>
    <row r="1239" spans="1:5" x14ac:dyDescent="0.25">
      <c r="A1239" s="18">
        <v>1988</v>
      </c>
      <c r="B1239" s="18" t="s">
        <v>56</v>
      </c>
      <c r="C1239" s="18">
        <v>0</v>
      </c>
      <c r="D1239" s="18">
        <v>0</v>
      </c>
      <c r="E1239" s="18">
        <v>0</v>
      </c>
    </row>
    <row r="1240" spans="1:5" x14ac:dyDescent="0.25">
      <c r="A1240" s="18">
        <v>1989</v>
      </c>
      <c r="B1240" s="18" t="s">
        <v>56</v>
      </c>
      <c r="C1240" s="18">
        <v>0</v>
      </c>
      <c r="D1240" s="18">
        <v>0</v>
      </c>
      <c r="E1240" s="18">
        <v>0</v>
      </c>
    </row>
    <row r="1241" spans="1:5" x14ac:dyDescent="0.25">
      <c r="A1241" s="18">
        <v>1990</v>
      </c>
      <c r="B1241" s="18" t="s">
        <v>56</v>
      </c>
      <c r="C1241" s="18">
        <v>1861</v>
      </c>
      <c r="D1241" s="18">
        <v>1906</v>
      </c>
      <c r="E1241" s="18">
        <v>3765</v>
      </c>
    </row>
    <row r="1242" spans="1:5" x14ac:dyDescent="0.25">
      <c r="A1242" s="18">
        <v>1991</v>
      </c>
      <c r="B1242" s="18" t="s">
        <v>56</v>
      </c>
      <c r="C1242" s="18">
        <v>0</v>
      </c>
      <c r="D1242" s="18">
        <v>0</v>
      </c>
      <c r="E1242" s="18">
        <v>0</v>
      </c>
    </row>
    <row r="1243" spans="1:5" x14ac:dyDescent="0.25">
      <c r="A1243" s="18">
        <v>1992</v>
      </c>
      <c r="B1243" s="18" t="s">
        <v>56</v>
      </c>
      <c r="C1243" s="18">
        <v>0</v>
      </c>
      <c r="D1243" s="18">
        <v>0</v>
      </c>
      <c r="E1243" s="18">
        <v>0</v>
      </c>
    </row>
    <row r="1244" spans="1:5" x14ac:dyDescent="0.25">
      <c r="A1244" s="18">
        <v>1993</v>
      </c>
      <c r="B1244" s="18" t="s">
        <v>56</v>
      </c>
      <c r="C1244" s="18">
        <v>0</v>
      </c>
      <c r="D1244" s="18">
        <v>0</v>
      </c>
      <c r="E1244" s="18">
        <v>0</v>
      </c>
    </row>
    <row r="1245" spans="1:5" x14ac:dyDescent="0.25">
      <c r="A1245" s="18">
        <v>1994</v>
      </c>
      <c r="B1245" s="18" t="s">
        <v>56</v>
      </c>
      <c r="C1245" s="18">
        <v>0</v>
      </c>
      <c r="D1245" s="18">
        <v>0</v>
      </c>
      <c r="E1245" s="18">
        <v>0</v>
      </c>
    </row>
    <row r="1246" spans="1:5" x14ac:dyDescent="0.25">
      <c r="A1246" s="18">
        <v>1995</v>
      </c>
      <c r="B1246" s="18" t="s">
        <v>56</v>
      </c>
      <c r="C1246" s="18">
        <v>0</v>
      </c>
      <c r="D1246" s="18">
        <v>0</v>
      </c>
      <c r="E1246" s="18">
        <v>0</v>
      </c>
    </row>
    <row r="1247" spans="1:5" x14ac:dyDescent="0.25">
      <c r="A1247" s="18">
        <v>1996</v>
      </c>
      <c r="B1247" s="18" t="s">
        <v>56</v>
      </c>
      <c r="C1247" s="18">
        <v>0</v>
      </c>
      <c r="D1247" s="18">
        <v>0</v>
      </c>
      <c r="E1247" s="18">
        <v>0</v>
      </c>
    </row>
    <row r="1248" spans="1:5" x14ac:dyDescent="0.25">
      <c r="A1248" s="18">
        <v>1997</v>
      </c>
      <c r="B1248" s="18" t="s">
        <v>56</v>
      </c>
      <c r="C1248" s="18">
        <v>0</v>
      </c>
      <c r="D1248" s="18">
        <v>0</v>
      </c>
      <c r="E1248" s="18">
        <v>0</v>
      </c>
    </row>
    <row r="1249" spans="1:5" x14ac:dyDescent="0.25">
      <c r="A1249" s="18">
        <v>1998</v>
      </c>
      <c r="B1249" s="18" t="s">
        <v>56</v>
      </c>
      <c r="C1249" s="18">
        <v>0</v>
      </c>
      <c r="D1249" s="18">
        <v>0</v>
      </c>
      <c r="E1249" s="18">
        <v>0</v>
      </c>
    </row>
    <row r="1250" spans="1:5" x14ac:dyDescent="0.25">
      <c r="A1250" s="18">
        <v>1999</v>
      </c>
      <c r="B1250" s="18" t="s">
        <v>56</v>
      </c>
      <c r="C1250" s="18">
        <v>0</v>
      </c>
      <c r="D1250" s="18">
        <v>0</v>
      </c>
      <c r="E1250" s="18">
        <v>0</v>
      </c>
    </row>
    <row r="1251" spans="1:5" x14ac:dyDescent="0.25">
      <c r="A1251" s="18">
        <v>2000</v>
      </c>
      <c r="B1251" s="18" t="s">
        <v>56</v>
      </c>
      <c r="C1251" s="18">
        <v>0</v>
      </c>
      <c r="D1251" s="18">
        <v>0</v>
      </c>
      <c r="E1251" s="18">
        <v>0</v>
      </c>
    </row>
    <row r="1252" spans="1:5" x14ac:dyDescent="0.25">
      <c r="A1252" s="18">
        <v>2001</v>
      </c>
      <c r="B1252" s="18" t="s">
        <v>56</v>
      </c>
      <c r="C1252" s="18">
        <v>0</v>
      </c>
      <c r="D1252" s="18">
        <v>0</v>
      </c>
      <c r="E1252" s="18">
        <v>0</v>
      </c>
    </row>
    <row r="1253" spans="1:5" x14ac:dyDescent="0.25">
      <c r="A1253" s="18">
        <v>2002</v>
      </c>
      <c r="B1253" s="18" t="s">
        <v>56</v>
      </c>
      <c r="C1253" s="18">
        <v>0</v>
      </c>
      <c r="D1253" s="18">
        <v>0</v>
      </c>
      <c r="E1253" s="18">
        <v>0</v>
      </c>
    </row>
    <row r="1254" spans="1:5" x14ac:dyDescent="0.25">
      <c r="A1254" s="18">
        <v>2003</v>
      </c>
      <c r="B1254" s="18" t="s">
        <v>56</v>
      </c>
      <c r="C1254" s="18">
        <v>0</v>
      </c>
      <c r="D1254" s="18">
        <v>0</v>
      </c>
      <c r="E1254" s="18">
        <v>0</v>
      </c>
    </row>
    <row r="1255" spans="1:5" x14ac:dyDescent="0.25">
      <c r="A1255" s="18">
        <v>2004</v>
      </c>
      <c r="B1255" s="18" t="s">
        <v>56</v>
      </c>
      <c r="C1255" s="18">
        <v>0</v>
      </c>
      <c r="D1255" s="18">
        <v>0</v>
      </c>
      <c r="E1255" s="18">
        <v>0</v>
      </c>
    </row>
    <row r="1256" spans="1:5" x14ac:dyDescent="0.25">
      <c r="A1256" s="18">
        <v>2005</v>
      </c>
      <c r="B1256" s="18" t="s">
        <v>56</v>
      </c>
      <c r="C1256" s="18">
        <v>0</v>
      </c>
      <c r="D1256" s="18">
        <v>0</v>
      </c>
      <c r="E1256" s="18">
        <v>0</v>
      </c>
    </row>
    <row r="1257" spans="1:5" x14ac:dyDescent="0.25">
      <c r="A1257" s="18">
        <v>2006</v>
      </c>
      <c r="B1257" s="18" t="s">
        <v>56</v>
      </c>
      <c r="C1257" s="18">
        <v>0</v>
      </c>
      <c r="D1257" s="18">
        <v>0</v>
      </c>
      <c r="E1257" s="18">
        <v>0</v>
      </c>
    </row>
    <row r="1258" spans="1:5" x14ac:dyDescent="0.25">
      <c r="A1258" s="18">
        <v>2007</v>
      </c>
      <c r="B1258" s="18" t="s">
        <v>56</v>
      </c>
      <c r="C1258" s="18">
        <v>0</v>
      </c>
      <c r="D1258" s="18">
        <v>0</v>
      </c>
      <c r="E1258" s="18">
        <v>0</v>
      </c>
    </row>
    <row r="1259" spans="1:5" x14ac:dyDescent="0.25">
      <c r="A1259" s="18">
        <v>2008</v>
      </c>
      <c r="B1259" s="18" t="s">
        <v>56</v>
      </c>
      <c r="C1259" s="18">
        <v>0</v>
      </c>
      <c r="D1259" s="18">
        <v>0</v>
      </c>
      <c r="E1259" s="18">
        <v>0</v>
      </c>
    </row>
    <row r="1260" spans="1:5" x14ac:dyDescent="0.25">
      <c r="A1260" s="18">
        <v>1950</v>
      </c>
      <c r="B1260" s="18" t="s">
        <v>57</v>
      </c>
      <c r="C1260" s="18">
        <v>0</v>
      </c>
      <c r="D1260" s="18">
        <v>0</v>
      </c>
      <c r="E1260" s="18">
        <v>0</v>
      </c>
    </row>
    <row r="1261" spans="1:5" x14ac:dyDescent="0.25">
      <c r="A1261" s="18">
        <v>1951</v>
      </c>
      <c r="B1261" s="18" t="s">
        <v>57</v>
      </c>
      <c r="C1261" s="18">
        <v>0</v>
      </c>
      <c r="D1261" s="18">
        <v>0</v>
      </c>
      <c r="E1261" s="18">
        <v>0</v>
      </c>
    </row>
    <row r="1262" spans="1:5" x14ac:dyDescent="0.25">
      <c r="A1262" s="18">
        <v>1952</v>
      </c>
      <c r="B1262" s="18" t="s">
        <v>57</v>
      </c>
      <c r="C1262" s="18">
        <v>0</v>
      </c>
      <c r="D1262" s="18">
        <v>0</v>
      </c>
      <c r="E1262" s="18">
        <v>0</v>
      </c>
    </row>
    <row r="1263" spans="1:5" x14ac:dyDescent="0.25">
      <c r="A1263" s="18">
        <v>1953</v>
      </c>
      <c r="B1263" s="18" t="s">
        <v>57</v>
      </c>
      <c r="C1263" s="18">
        <v>0</v>
      </c>
      <c r="D1263" s="18">
        <v>0</v>
      </c>
      <c r="E1263" s="18">
        <v>0</v>
      </c>
    </row>
    <row r="1264" spans="1:5" x14ac:dyDescent="0.25">
      <c r="A1264" s="18">
        <v>1954</v>
      </c>
      <c r="B1264" s="18" t="s">
        <v>57</v>
      </c>
      <c r="C1264" s="18">
        <v>0</v>
      </c>
      <c r="D1264" s="18">
        <v>0</v>
      </c>
      <c r="E1264" s="18">
        <v>0</v>
      </c>
    </row>
    <row r="1265" spans="1:5" x14ac:dyDescent="0.25">
      <c r="A1265" s="18">
        <v>1955</v>
      </c>
      <c r="B1265" s="18" t="s">
        <v>57</v>
      </c>
      <c r="C1265" s="18">
        <v>0</v>
      </c>
      <c r="D1265" s="18">
        <v>0</v>
      </c>
      <c r="E1265" s="18">
        <v>0</v>
      </c>
    </row>
    <row r="1266" spans="1:5" x14ac:dyDescent="0.25">
      <c r="A1266" s="18">
        <v>1956</v>
      </c>
      <c r="B1266" s="18" t="s">
        <v>57</v>
      </c>
      <c r="C1266" s="18">
        <v>0</v>
      </c>
      <c r="D1266" s="18">
        <v>0</v>
      </c>
      <c r="E1266" s="18">
        <v>0</v>
      </c>
    </row>
    <row r="1267" spans="1:5" x14ac:dyDescent="0.25">
      <c r="A1267" s="18">
        <v>1957</v>
      </c>
      <c r="B1267" s="18" t="s">
        <v>57</v>
      </c>
      <c r="C1267" s="18">
        <v>0</v>
      </c>
      <c r="D1267" s="18">
        <v>0</v>
      </c>
      <c r="E1267" s="18">
        <v>0</v>
      </c>
    </row>
    <row r="1268" spans="1:5" x14ac:dyDescent="0.25">
      <c r="A1268" s="18">
        <v>1958</v>
      </c>
      <c r="B1268" s="18" t="s">
        <v>57</v>
      </c>
      <c r="C1268" s="18">
        <v>0</v>
      </c>
      <c r="D1268" s="18">
        <v>0</v>
      </c>
      <c r="E1268" s="18">
        <v>0</v>
      </c>
    </row>
    <row r="1269" spans="1:5" x14ac:dyDescent="0.25">
      <c r="A1269" s="18">
        <v>1959</v>
      </c>
      <c r="B1269" s="18" t="s">
        <v>57</v>
      </c>
      <c r="C1269" s="18">
        <v>0</v>
      </c>
      <c r="D1269" s="18">
        <v>0</v>
      </c>
      <c r="E1269" s="18">
        <v>0</v>
      </c>
    </row>
    <row r="1270" spans="1:5" x14ac:dyDescent="0.25">
      <c r="A1270" s="18">
        <v>1960</v>
      </c>
      <c r="B1270" s="18" t="s">
        <v>57</v>
      </c>
      <c r="C1270" s="18">
        <v>0</v>
      </c>
      <c r="D1270" s="18">
        <v>0</v>
      </c>
      <c r="E1270" s="18">
        <v>0</v>
      </c>
    </row>
    <row r="1271" spans="1:5" x14ac:dyDescent="0.25">
      <c r="A1271" s="18">
        <v>1961</v>
      </c>
      <c r="B1271" s="18" t="s">
        <v>57</v>
      </c>
      <c r="C1271" s="18">
        <v>0</v>
      </c>
      <c r="D1271" s="18">
        <v>0</v>
      </c>
      <c r="E1271" s="18">
        <v>0</v>
      </c>
    </row>
    <row r="1272" spans="1:5" x14ac:dyDescent="0.25">
      <c r="A1272" s="18">
        <v>1962</v>
      </c>
      <c r="B1272" s="18" t="s">
        <v>57</v>
      </c>
      <c r="C1272" s="18">
        <v>0</v>
      </c>
      <c r="D1272" s="18">
        <v>0</v>
      </c>
      <c r="E1272" s="18">
        <v>0</v>
      </c>
    </row>
    <row r="1273" spans="1:5" x14ac:dyDescent="0.25">
      <c r="A1273" s="18">
        <v>1963</v>
      </c>
      <c r="B1273" s="18" t="s">
        <v>57</v>
      </c>
      <c r="C1273" s="18">
        <v>0</v>
      </c>
      <c r="D1273" s="18">
        <v>0</v>
      </c>
      <c r="E1273" s="18">
        <v>0</v>
      </c>
    </row>
    <row r="1274" spans="1:5" x14ac:dyDescent="0.25">
      <c r="A1274" s="18">
        <v>1964</v>
      </c>
      <c r="B1274" s="18" t="s">
        <v>57</v>
      </c>
      <c r="C1274" s="18">
        <v>0</v>
      </c>
      <c r="D1274" s="18">
        <v>0</v>
      </c>
      <c r="E1274" s="18">
        <v>0</v>
      </c>
    </row>
    <row r="1275" spans="1:5" x14ac:dyDescent="0.25">
      <c r="A1275" s="18">
        <v>1965</v>
      </c>
      <c r="B1275" s="18" t="s">
        <v>57</v>
      </c>
      <c r="C1275" s="18">
        <v>0</v>
      </c>
      <c r="D1275" s="18">
        <v>0</v>
      </c>
      <c r="E1275" s="18">
        <v>0</v>
      </c>
    </row>
    <row r="1276" spans="1:5" x14ac:dyDescent="0.25">
      <c r="A1276" s="18">
        <v>1966</v>
      </c>
      <c r="B1276" s="18" t="s">
        <v>57</v>
      </c>
      <c r="C1276" s="18">
        <v>0</v>
      </c>
      <c r="D1276" s="18">
        <v>0</v>
      </c>
      <c r="E1276" s="18">
        <v>0</v>
      </c>
    </row>
    <row r="1277" spans="1:5" x14ac:dyDescent="0.25">
      <c r="A1277" s="18">
        <v>1967</v>
      </c>
      <c r="B1277" s="18" t="s">
        <v>57</v>
      </c>
      <c r="C1277" s="18">
        <v>0</v>
      </c>
      <c r="D1277" s="18">
        <v>0</v>
      </c>
      <c r="E1277" s="18">
        <v>0</v>
      </c>
    </row>
    <row r="1278" spans="1:5" x14ac:dyDescent="0.25">
      <c r="A1278" s="18">
        <v>1968</v>
      </c>
      <c r="B1278" s="18" t="s">
        <v>57</v>
      </c>
      <c r="C1278" s="18">
        <v>0</v>
      </c>
      <c r="D1278" s="18">
        <v>0</v>
      </c>
      <c r="E1278" s="18">
        <v>0</v>
      </c>
    </row>
    <row r="1279" spans="1:5" x14ac:dyDescent="0.25">
      <c r="A1279" s="18">
        <v>1969</v>
      </c>
      <c r="B1279" s="18" t="s">
        <v>57</v>
      </c>
      <c r="C1279" s="18">
        <v>0</v>
      </c>
      <c r="D1279" s="18">
        <v>0</v>
      </c>
      <c r="E1279" s="18">
        <v>0</v>
      </c>
    </row>
    <row r="1280" spans="1:5" x14ac:dyDescent="0.25">
      <c r="A1280" s="18">
        <v>1970</v>
      </c>
      <c r="B1280" s="18" t="s">
        <v>57</v>
      </c>
      <c r="C1280" s="18">
        <v>0</v>
      </c>
      <c r="D1280" s="18">
        <v>0</v>
      </c>
      <c r="E1280" s="18">
        <v>0</v>
      </c>
    </row>
    <row r="1281" spans="1:5" x14ac:dyDescent="0.25">
      <c r="A1281" s="18">
        <v>1971</v>
      </c>
      <c r="B1281" s="18" t="s">
        <v>57</v>
      </c>
      <c r="C1281" s="18">
        <v>0</v>
      </c>
      <c r="D1281" s="18">
        <v>0</v>
      </c>
      <c r="E1281" s="18">
        <v>0</v>
      </c>
    </row>
    <row r="1282" spans="1:5" x14ac:dyDescent="0.25">
      <c r="A1282" s="18">
        <v>1972</v>
      </c>
      <c r="B1282" s="18" t="s">
        <v>57</v>
      </c>
      <c r="C1282" s="18">
        <v>0</v>
      </c>
      <c r="D1282" s="18">
        <v>0</v>
      </c>
      <c r="E1282" s="18">
        <v>0</v>
      </c>
    </row>
    <row r="1283" spans="1:5" x14ac:dyDescent="0.25">
      <c r="A1283" s="18">
        <v>1973</v>
      </c>
      <c r="B1283" s="18" t="s">
        <v>57</v>
      </c>
      <c r="C1283" s="18">
        <v>0</v>
      </c>
      <c r="D1283" s="18">
        <v>0</v>
      </c>
      <c r="E1283" s="18">
        <v>0</v>
      </c>
    </row>
    <row r="1284" spans="1:5" x14ac:dyDescent="0.25">
      <c r="A1284" s="18">
        <v>1974</v>
      </c>
      <c r="B1284" s="18" t="s">
        <v>57</v>
      </c>
      <c r="C1284" s="18">
        <v>0</v>
      </c>
      <c r="D1284" s="18">
        <v>0</v>
      </c>
      <c r="E1284" s="18">
        <v>0</v>
      </c>
    </row>
    <row r="1285" spans="1:5" x14ac:dyDescent="0.25">
      <c r="A1285" s="18">
        <v>1975</v>
      </c>
      <c r="B1285" s="18" t="s">
        <v>57</v>
      </c>
      <c r="C1285" s="18">
        <v>845</v>
      </c>
      <c r="D1285" s="18">
        <v>904</v>
      </c>
      <c r="E1285" s="18">
        <v>1750</v>
      </c>
    </row>
    <row r="1286" spans="1:5" x14ac:dyDescent="0.25">
      <c r="A1286" s="18">
        <v>1976</v>
      </c>
      <c r="B1286" s="18" t="s">
        <v>57</v>
      </c>
      <c r="C1286" s="18">
        <v>0</v>
      </c>
      <c r="D1286" s="18">
        <v>0</v>
      </c>
      <c r="E1286" s="18">
        <v>0</v>
      </c>
    </row>
    <row r="1287" spans="1:5" x14ac:dyDescent="0.25">
      <c r="A1287" s="18">
        <v>1977</v>
      </c>
      <c r="B1287" s="18" t="s">
        <v>57</v>
      </c>
      <c r="C1287" s="18">
        <v>0</v>
      </c>
      <c r="D1287" s="18">
        <v>0</v>
      </c>
      <c r="E1287" s="18">
        <v>0</v>
      </c>
    </row>
    <row r="1288" spans="1:5" x14ac:dyDescent="0.25">
      <c r="A1288" s="18">
        <v>1978</v>
      </c>
      <c r="B1288" s="18" t="s">
        <v>57</v>
      </c>
      <c r="C1288" s="18">
        <v>0</v>
      </c>
      <c r="D1288" s="18">
        <v>0</v>
      </c>
      <c r="E1288" s="18">
        <v>0</v>
      </c>
    </row>
    <row r="1289" spans="1:5" x14ac:dyDescent="0.25">
      <c r="A1289" s="18">
        <v>1979</v>
      </c>
      <c r="B1289" s="18" t="s">
        <v>57</v>
      </c>
      <c r="C1289" s="18">
        <v>0</v>
      </c>
      <c r="D1289" s="18">
        <v>0</v>
      </c>
      <c r="E1289" s="18">
        <v>0</v>
      </c>
    </row>
    <row r="1290" spans="1:5" x14ac:dyDescent="0.25">
      <c r="A1290" s="18">
        <v>1980</v>
      </c>
      <c r="B1290" s="18" t="s">
        <v>57</v>
      </c>
      <c r="C1290" s="18">
        <v>912</v>
      </c>
      <c r="D1290" s="18">
        <v>1099</v>
      </c>
      <c r="E1290" s="18">
        <v>2010</v>
      </c>
    </row>
    <row r="1291" spans="1:5" x14ac:dyDescent="0.25">
      <c r="A1291" s="18">
        <v>1981</v>
      </c>
      <c r="B1291" s="18" t="s">
        <v>57</v>
      </c>
      <c r="C1291" s="18">
        <v>0</v>
      </c>
      <c r="D1291" s="18">
        <v>0</v>
      </c>
      <c r="E1291" s="18">
        <v>0</v>
      </c>
    </row>
    <row r="1292" spans="1:5" x14ac:dyDescent="0.25">
      <c r="A1292" s="18">
        <v>1982</v>
      </c>
      <c r="B1292" s="18" t="s">
        <v>57</v>
      </c>
      <c r="C1292" s="18">
        <v>0</v>
      </c>
      <c r="D1292" s="18">
        <v>0</v>
      </c>
      <c r="E1292" s="18">
        <v>0</v>
      </c>
    </row>
    <row r="1293" spans="1:5" x14ac:dyDescent="0.25">
      <c r="A1293" s="18">
        <v>1983</v>
      </c>
      <c r="B1293" s="18" t="s">
        <v>57</v>
      </c>
      <c r="C1293" s="18">
        <v>0</v>
      </c>
      <c r="D1293" s="18">
        <v>0</v>
      </c>
      <c r="E1293" s="18">
        <v>0</v>
      </c>
    </row>
    <row r="1294" spans="1:5" x14ac:dyDescent="0.25">
      <c r="A1294" s="18">
        <v>1984</v>
      </c>
      <c r="B1294" s="18" t="s">
        <v>57</v>
      </c>
      <c r="C1294" s="18">
        <v>0</v>
      </c>
      <c r="D1294" s="18">
        <v>0</v>
      </c>
      <c r="E1294" s="18">
        <v>0</v>
      </c>
    </row>
    <row r="1295" spans="1:5" x14ac:dyDescent="0.25">
      <c r="A1295" s="18">
        <v>1985</v>
      </c>
      <c r="B1295" s="18" t="s">
        <v>57</v>
      </c>
      <c r="C1295" s="18">
        <v>902</v>
      </c>
      <c r="D1295" s="18">
        <v>908</v>
      </c>
      <c r="E1295" s="18">
        <v>1810</v>
      </c>
    </row>
    <row r="1296" spans="1:5" x14ac:dyDescent="0.25">
      <c r="A1296" s="18">
        <v>1986</v>
      </c>
      <c r="B1296" s="18" t="s">
        <v>57</v>
      </c>
      <c r="C1296" s="18">
        <v>0</v>
      </c>
      <c r="D1296" s="18">
        <v>0</v>
      </c>
      <c r="E1296" s="18">
        <v>0</v>
      </c>
    </row>
    <row r="1297" spans="1:5" x14ac:dyDescent="0.25">
      <c r="A1297" s="18">
        <v>1987</v>
      </c>
      <c r="B1297" s="18" t="s">
        <v>57</v>
      </c>
      <c r="C1297" s="18">
        <v>0</v>
      </c>
      <c r="D1297" s="18">
        <v>0</v>
      </c>
      <c r="E1297" s="18">
        <v>0</v>
      </c>
    </row>
    <row r="1298" spans="1:5" x14ac:dyDescent="0.25">
      <c r="A1298" s="18">
        <v>1988</v>
      </c>
      <c r="B1298" s="18" t="s">
        <v>57</v>
      </c>
      <c r="C1298" s="18">
        <v>0</v>
      </c>
      <c r="D1298" s="18">
        <v>0</v>
      </c>
      <c r="E1298" s="18">
        <v>0</v>
      </c>
    </row>
    <row r="1299" spans="1:5" x14ac:dyDescent="0.25">
      <c r="A1299" s="18">
        <v>1989</v>
      </c>
      <c r="B1299" s="18" t="s">
        <v>57</v>
      </c>
      <c r="C1299" s="18">
        <v>0</v>
      </c>
      <c r="D1299" s="18">
        <v>0</v>
      </c>
      <c r="E1299" s="18">
        <v>0</v>
      </c>
    </row>
    <row r="1300" spans="1:5" x14ac:dyDescent="0.25">
      <c r="A1300" s="18">
        <v>1990</v>
      </c>
      <c r="B1300" s="18" t="s">
        <v>57</v>
      </c>
      <c r="C1300" s="18">
        <v>1027</v>
      </c>
      <c r="D1300" s="18">
        <v>1100</v>
      </c>
      <c r="E1300" s="18">
        <v>2127</v>
      </c>
    </row>
    <row r="1301" spans="1:5" x14ac:dyDescent="0.25">
      <c r="A1301" s="18">
        <v>1991</v>
      </c>
      <c r="B1301" s="18" t="s">
        <v>57</v>
      </c>
      <c r="C1301" s="18">
        <v>0</v>
      </c>
      <c r="D1301" s="18">
        <v>0</v>
      </c>
      <c r="E1301" s="18">
        <v>0</v>
      </c>
    </row>
    <row r="1302" spans="1:5" x14ac:dyDescent="0.25">
      <c r="A1302" s="18">
        <v>1992</v>
      </c>
      <c r="B1302" s="18" t="s">
        <v>57</v>
      </c>
      <c r="C1302" s="18">
        <v>0</v>
      </c>
      <c r="D1302" s="18">
        <v>0</v>
      </c>
      <c r="E1302" s="18">
        <v>0</v>
      </c>
    </row>
    <row r="1303" spans="1:5" x14ac:dyDescent="0.25">
      <c r="A1303" s="18">
        <v>1993</v>
      </c>
      <c r="B1303" s="18" t="s">
        <v>57</v>
      </c>
      <c r="C1303" s="18">
        <v>0</v>
      </c>
      <c r="D1303" s="18">
        <v>0</v>
      </c>
      <c r="E1303" s="18">
        <v>0</v>
      </c>
    </row>
    <row r="1304" spans="1:5" x14ac:dyDescent="0.25">
      <c r="A1304" s="18">
        <v>1994</v>
      </c>
      <c r="B1304" s="18" t="s">
        <v>57</v>
      </c>
      <c r="C1304" s="18">
        <v>0</v>
      </c>
      <c r="D1304" s="18">
        <v>0</v>
      </c>
      <c r="E1304" s="18">
        <v>0</v>
      </c>
    </row>
    <row r="1305" spans="1:5" x14ac:dyDescent="0.25">
      <c r="A1305" s="18">
        <v>1995</v>
      </c>
      <c r="B1305" s="18" t="s">
        <v>57</v>
      </c>
      <c r="C1305" s="18">
        <v>0</v>
      </c>
      <c r="D1305" s="18">
        <v>0</v>
      </c>
      <c r="E1305" s="18">
        <v>0</v>
      </c>
    </row>
    <row r="1306" spans="1:5" x14ac:dyDescent="0.25">
      <c r="A1306" s="18">
        <v>1996</v>
      </c>
      <c r="B1306" s="18" t="s">
        <v>57</v>
      </c>
      <c r="C1306" s="18">
        <v>0</v>
      </c>
      <c r="D1306" s="18">
        <v>0</v>
      </c>
      <c r="E1306" s="18">
        <v>0</v>
      </c>
    </row>
    <row r="1307" spans="1:5" x14ac:dyDescent="0.25">
      <c r="A1307" s="18">
        <v>1997</v>
      </c>
      <c r="B1307" s="18" t="s">
        <v>57</v>
      </c>
      <c r="C1307" s="18">
        <v>0</v>
      </c>
      <c r="D1307" s="18">
        <v>0</v>
      </c>
      <c r="E1307" s="18">
        <v>0</v>
      </c>
    </row>
    <row r="1308" spans="1:5" x14ac:dyDescent="0.25">
      <c r="A1308" s="18">
        <v>1998</v>
      </c>
      <c r="B1308" s="18" t="s">
        <v>57</v>
      </c>
      <c r="C1308" s="18">
        <v>0</v>
      </c>
      <c r="D1308" s="18">
        <v>0</v>
      </c>
      <c r="E1308" s="18">
        <v>0</v>
      </c>
    </row>
    <row r="1309" spans="1:5" x14ac:dyDescent="0.25">
      <c r="A1309" s="18">
        <v>1999</v>
      </c>
      <c r="B1309" s="18" t="s">
        <v>57</v>
      </c>
      <c r="C1309" s="18">
        <v>0</v>
      </c>
      <c r="D1309" s="18">
        <v>0</v>
      </c>
      <c r="E1309" s="18">
        <v>0</v>
      </c>
    </row>
    <row r="1310" spans="1:5" x14ac:dyDescent="0.25">
      <c r="A1310" s="18">
        <v>2000</v>
      </c>
      <c r="B1310" s="18" t="s">
        <v>57</v>
      </c>
      <c r="C1310" s="18">
        <v>1131</v>
      </c>
      <c r="D1310" s="18">
        <v>1238</v>
      </c>
      <c r="E1310" s="18">
        <v>2369</v>
      </c>
    </row>
    <row r="1311" spans="1:5" x14ac:dyDescent="0.25">
      <c r="A1311" s="18">
        <v>2001</v>
      </c>
      <c r="B1311" s="18" t="s">
        <v>57</v>
      </c>
      <c r="C1311" s="18">
        <v>0</v>
      </c>
      <c r="D1311" s="18">
        <v>0</v>
      </c>
      <c r="E1311" s="18">
        <v>0</v>
      </c>
    </row>
    <row r="1312" spans="1:5" x14ac:dyDescent="0.25">
      <c r="A1312" s="18">
        <v>2002</v>
      </c>
      <c r="B1312" s="18" t="s">
        <v>57</v>
      </c>
      <c r="C1312" s="18">
        <v>0</v>
      </c>
      <c r="D1312" s="18">
        <v>0</v>
      </c>
      <c r="E1312" s="18">
        <v>0</v>
      </c>
    </row>
    <row r="1313" spans="1:5" x14ac:dyDescent="0.25">
      <c r="A1313" s="18">
        <v>2003</v>
      </c>
      <c r="B1313" s="18" t="s">
        <v>57</v>
      </c>
      <c r="C1313" s="18">
        <v>0</v>
      </c>
      <c r="D1313" s="18">
        <v>0</v>
      </c>
      <c r="E1313" s="18">
        <v>0</v>
      </c>
    </row>
    <row r="1314" spans="1:5" x14ac:dyDescent="0.25">
      <c r="A1314" s="18">
        <v>2004</v>
      </c>
      <c r="B1314" s="18" t="s">
        <v>57</v>
      </c>
      <c r="C1314" s="18">
        <v>0</v>
      </c>
      <c r="D1314" s="18">
        <v>0</v>
      </c>
      <c r="E1314" s="18">
        <v>0</v>
      </c>
    </row>
    <row r="1315" spans="1:5" x14ac:dyDescent="0.25">
      <c r="A1315" s="18">
        <v>2005</v>
      </c>
      <c r="B1315" s="18" t="s">
        <v>57</v>
      </c>
      <c r="C1315" s="18">
        <v>0</v>
      </c>
      <c r="D1315" s="18">
        <v>0</v>
      </c>
      <c r="E1315" s="18">
        <v>0</v>
      </c>
    </row>
    <row r="1316" spans="1:5" x14ac:dyDescent="0.25">
      <c r="A1316" s="18">
        <v>2006</v>
      </c>
      <c r="B1316" s="18" t="s">
        <v>57</v>
      </c>
      <c r="C1316" s="18">
        <v>0</v>
      </c>
      <c r="D1316" s="18">
        <v>0</v>
      </c>
      <c r="E1316" s="18">
        <v>0</v>
      </c>
    </row>
    <row r="1317" spans="1:5" x14ac:dyDescent="0.25">
      <c r="A1317" s="18">
        <v>2007</v>
      </c>
      <c r="B1317" s="18" t="s">
        <v>57</v>
      </c>
      <c r="C1317" s="18">
        <v>0</v>
      </c>
      <c r="D1317" s="18">
        <v>0</v>
      </c>
      <c r="E1317" s="18">
        <v>0</v>
      </c>
    </row>
    <row r="1318" spans="1:5" x14ac:dyDescent="0.25">
      <c r="A1318" s="18">
        <v>2008</v>
      </c>
      <c r="B1318" s="18" t="s">
        <v>57</v>
      </c>
      <c r="C1318" s="18">
        <v>0</v>
      </c>
      <c r="D1318" s="18">
        <v>0</v>
      </c>
      <c r="E1318" s="18">
        <v>0</v>
      </c>
    </row>
    <row r="1319" spans="1:5" x14ac:dyDescent="0.25">
      <c r="A1319" s="18">
        <v>1950</v>
      </c>
      <c r="B1319" s="18" t="s">
        <v>58</v>
      </c>
      <c r="C1319" s="18">
        <v>0</v>
      </c>
      <c r="D1319" s="18">
        <v>0</v>
      </c>
      <c r="E1319" s="18">
        <v>0</v>
      </c>
    </row>
    <row r="1320" spans="1:5" x14ac:dyDescent="0.25">
      <c r="A1320" s="18">
        <v>1951</v>
      </c>
      <c r="B1320" s="18" t="s">
        <v>58</v>
      </c>
      <c r="C1320" s="18">
        <v>0</v>
      </c>
      <c r="D1320" s="18">
        <v>0</v>
      </c>
      <c r="E1320" s="18">
        <v>0</v>
      </c>
    </row>
    <row r="1321" spans="1:5" x14ac:dyDescent="0.25">
      <c r="A1321" s="18">
        <v>1952</v>
      </c>
      <c r="B1321" s="18" t="s">
        <v>58</v>
      </c>
      <c r="C1321" s="18">
        <v>0</v>
      </c>
      <c r="D1321" s="18">
        <v>0</v>
      </c>
      <c r="E1321" s="18">
        <v>0</v>
      </c>
    </row>
    <row r="1322" spans="1:5" x14ac:dyDescent="0.25">
      <c r="A1322" s="18">
        <v>1953</v>
      </c>
      <c r="B1322" s="18" t="s">
        <v>58</v>
      </c>
      <c r="C1322" s="18">
        <v>0</v>
      </c>
      <c r="D1322" s="18">
        <v>0</v>
      </c>
      <c r="E1322" s="18">
        <v>0</v>
      </c>
    </row>
    <row r="1323" spans="1:5" x14ac:dyDescent="0.25">
      <c r="A1323" s="18">
        <v>1954</v>
      </c>
      <c r="B1323" s="18" t="s">
        <v>58</v>
      </c>
      <c r="C1323" s="18">
        <v>0</v>
      </c>
      <c r="D1323" s="18">
        <v>0</v>
      </c>
      <c r="E1323" s="18">
        <v>0</v>
      </c>
    </row>
    <row r="1324" spans="1:5" x14ac:dyDescent="0.25">
      <c r="A1324" s="18">
        <v>1955</v>
      </c>
      <c r="B1324" s="18" t="s">
        <v>58</v>
      </c>
      <c r="C1324" s="18">
        <v>0</v>
      </c>
      <c r="D1324" s="18">
        <v>0</v>
      </c>
      <c r="E1324" s="18">
        <v>0</v>
      </c>
    </row>
    <row r="1325" spans="1:5" x14ac:dyDescent="0.25">
      <c r="A1325" s="18">
        <v>1956</v>
      </c>
      <c r="B1325" s="18" t="s">
        <v>58</v>
      </c>
      <c r="C1325" s="18">
        <v>0</v>
      </c>
      <c r="D1325" s="18">
        <v>0</v>
      </c>
      <c r="E1325" s="18">
        <v>0</v>
      </c>
    </row>
    <row r="1326" spans="1:5" x14ac:dyDescent="0.25">
      <c r="A1326" s="18">
        <v>1957</v>
      </c>
      <c r="B1326" s="18" t="s">
        <v>58</v>
      </c>
      <c r="C1326" s="18">
        <v>0</v>
      </c>
      <c r="D1326" s="18">
        <v>0</v>
      </c>
      <c r="E1326" s="18">
        <v>0</v>
      </c>
    </row>
    <row r="1327" spans="1:5" x14ac:dyDescent="0.25">
      <c r="A1327" s="18">
        <v>1958</v>
      </c>
      <c r="B1327" s="18" t="s">
        <v>58</v>
      </c>
      <c r="C1327" s="18">
        <v>0</v>
      </c>
      <c r="D1327" s="18">
        <v>0</v>
      </c>
      <c r="E1327" s="18">
        <v>0</v>
      </c>
    </row>
    <row r="1328" spans="1:5" x14ac:dyDescent="0.25">
      <c r="A1328" s="18">
        <v>1959</v>
      </c>
      <c r="B1328" s="18" t="s">
        <v>58</v>
      </c>
      <c r="C1328" s="18">
        <v>0</v>
      </c>
      <c r="D1328" s="18">
        <v>0</v>
      </c>
      <c r="E1328" s="18">
        <v>0</v>
      </c>
    </row>
    <row r="1329" spans="1:5" x14ac:dyDescent="0.25">
      <c r="A1329" s="18">
        <v>1960</v>
      </c>
      <c r="B1329" s="18" t="s">
        <v>58</v>
      </c>
      <c r="C1329" s="18">
        <v>0</v>
      </c>
      <c r="D1329" s="18">
        <v>0</v>
      </c>
      <c r="E1329" s="18">
        <v>0</v>
      </c>
    </row>
    <row r="1330" spans="1:5" x14ac:dyDescent="0.25">
      <c r="A1330" s="18">
        <v>1961</v>
      </c>
      <c r="B1330" s="18" t="s">
        <v>58</v>
      </c>
      <c r="C1330" s="18">
        <v>0</v>
      </c>
      <c r="D1330" s="18">
        <v>0</v>
      </c>
      <c r="E1330" s="18">
        <v>0</v>
      </c>
    </row>
    <row r="1331" spans="1:5" x14ac:dyDescent="0.25">
      <c r="A1331" s="18">
        <v>1962</v>
      </c>
      <c r="B1331" s="18" t="s">
        <v>58</v>
      </c>
      <c r="C1331" s="18">
        <v>0</v>
      </c>
      <c r="D1331" s="18">
        <v>0</v>
      </c>
      <c r="E1331" s="18">
        <v>0</v>
      </c>
    </row>
    <row r="1332" spans="1:5" x14ac:dyDescent="0.25">
      <c r="A1332" s="18">
        <v>1963</v>
      </c>
      <c r="B1332" s="18" t="s">
        <v>58</v>
      </c>
      <c r="C1332" s="18">
        <v>0</v>
      </c>
      <c r="D1332" s="18">
        <v>0</v>
      </c>
      <c r="E1332" s="18">
        <v>0</v>
      </c>
    </row>
    <row r="1333" spans="1:5" x14ac:dyDescent="0.25">
      <c r="A1333" s="18">
        <v>1964</v>
      </c>
      <c r="B1333" s="18" t="s">
        <v>58</v>
      </c>
      <c r="C1333" s="18">
        <v>0</v>
      </c>
      <c r="D1333" s="18">
        <v>0</v>
      </c>
      <c r="E1333" s="18">
        <v>0</v>
      </c>
    </row>
    <row r="1334" spans="1:5" x14ac:dyDescent="0.25">
      <c r="A1334" s="18">
        <v>1965</v>
      </c>
      <c r="B1334" s="18" t="s">
        <v>58</v>
      </c>
      <c r="C1334" s="18">
        <v>0</v>
      </c>
      <c r="D1334" s="18">
        <v>0</v>
      </c>
      <c r="E1334" s="18">
        <v>0</v>
      </c>
    </row>
    <row r="1335" spans="1:5" x14ac:dyDescent="0.25">
      <c r="A1335" s="18">
        <v>1966</v>
      </c>
      <c r="B1335" s="18" t="s">
        <v>58</v>
      </c>
      <c r="C1335" s="18">
        <v>0</v>
      </c>
      <c r="D1335" s="18">
        <v>0</v>
      </c>
      <c r="E1335" s="18">
        <v>0</v>
      </c>
    </row>
    <row r="1336" spans="1:5" x14ac:dyDescent="0.25">
      <c r="A1336" s="18">
        <v>1967</v>
      </c>
      <c r="B1336" s="18" t="s">
        <v>58</v>
      </c>
      <c r="C1336" s="18">
        <v>0</v>
      </c>
      <c r="D1336" s="18">
        <v>0</v>
      </c>
      <c r="E1336" s="18">
        <v>0</v>
      </c>
    </row>
    <row r="1337" spans="1:5" x14ac:dyDescent="0.25">
      <c r="A1337" s="18">
        <v>1968</v>
      </c>
      <c r="B1337" s="18" t="s">
        <v>58</v>
      </c>
      <c r="C1337" s="18">
        <v>0</v>
      </c>
      <c r="D1337" s="18">
        <v>0</v>
      </c>
      <c r="E1337" s="18">
        <v>0</v>
      </c>
    </row>
    <row r="1338" spans="1:5" x14ac:dyDescent="0.25">
      <c r="A1338" s="18">
        <v>1969</v>
      </c>
      <c r="B1338" s="18" t="s">
        <v>58</v>
      </c>
      <c r="C1338" s="18">
        <v>0</v>
      </c>
      <c r="D1338" s="18">
        <v>0</v>
      </c>
      <c r="E1338" s="18">
        <v>0</v>
      </c>
    </row>
    <row r="1339" spans="1:5" x14ac:dyDescent="0.25">
      <c r="A1339" s="18">
        <v>1970</v>
      </c>
      <c r="B1339" s="18" t="s">
        <v>58</v>
      </c>
      <c r="C1339" s="18">
        <v>3174</v>
      </c>
      <c r="D1339" s="18">
        <v>2846</v>
      </c>
      <c r="E1339" s="18">
        <v>6022</v>
      </c>
    </row>
    <row r="1340" spans="1:5" x14ac:dyDescent="0.25">
      <c r="A1340" s="18">
        <v>1971</v>
      </c>
      <c r="B1340" s="18" t="s">
        <v>58</v>
      </c>
      <c r="C1340" s="18">
        <v>0</v>
      </c>
      <c r="D1340" s="18">
        <v>0</v>
      </c>
      <c r="E1340" s="18">
        <v>0</v>
      </c>
    </row>
    <row r="1341" spans="1:5" x14ac:dyDescent="0.25">
      <c r="A1341" s="18">
        <v>1972</v>
      </c>
      <c r="B1341" s="18" t="s">
        <v>58</v>
      </c>
      <c r="C1341" s="18">
        <v>0</v>
      </c>
      <c r="D1341" s="18">
        <v>0</v>
      </c>
      <c r="E1341" s="18">
        <v>0</v>
      </c>
    </row>
    <row r="1342" spans="1:5" x14ac:dyDescent="0.25">
      <c r="A1342" s="18">
        <v>1973</v>
      </c>
      <c r="B1342" s="18" t="s">
        <v>58</v>
      </c>
      <c r="C1342" s="18">
        <v>0</v>
      </c>
      <c r="D1342" s="18">
        <v>0</v>
      </c>
      <c r="E1342" s="18">
        <v>0</v>
      </c>
    </row>
    <row r="1343" spans="1:5" x14ac:dyDescent="0.25">
      <c r="A1343" s="18">
        <v>1974</v>
      </c>
      <c r="B1343" s="18" t="s">
        <v>58</v>
      </c>
      <c r="C1343" s="18">
        <v>0</v>
      </c>
      <c r="D1343" s="18">
        <v>0</v>
      </c>
      <c r="E1343" s="18">
        <v>0</v>
      </c>
    </row>
    <row r="1344" spans="1:5" x14ac:dyDescent="0.25">
      <c r="A1344" s="18">
        <v>1975</v>
      </c>
      <c r="B1344" s="18" t="s">
        <v>58</v>
      </c>
      <c r="C1344" s="18">
        <v>8354</v>
      </c>
      <c r="D1344" s="18">
        <v>6673</v>
      </c>
      <c r="E1344" s="18">
        <v>15041</v>
      </c>
    </row>
    <row r="1345" spans="1:5" x14ac:dyDescent="0.25">
      <c r="A1345" s="18">
        <v>1976</v>
      </c>
      <c r="B1345" s="18" t="s">
        <v>58</v>
      </c>
      <c r="C1345" s="18">
        <v>0</v>
      </c>
      <c r="D1345" s="18">
        <v>0</v>
      </c>
      <c r="E1345" s="18">
        <v>0</v>
      </c>
    </row>
    <row r="1346" spans="1:5" x14ac:dyDescent="0.25">
      <c r="A1346" s="18">
        <v>1977</v>
      </c>
      <c r="B1346" s="18" t="s">
        <v>58</v>
      </c>
      <c r="C1346" s="18">
        <v>0</v>
      </c>
      <c r="D1346" s="18">
        <v>0</v>
      </c>
      <c r="E1346" s="18">
        <v>0</v>
      </c>
    </row>
    <row r="1347" spans="1:5" x14ac:dyDescent="0.25">
      <c r="A1347" s="18">
        <v>1978</v>
      </c>
      <c r="B1347" s="18" t="s">
        <v>58</v>
      </c>
      <c r="C1347" s="18">
        <v>0</v>
      </c>
      <c r="D1347" s="18">
        <v>0</v>
      </c>
      <c r="E1347" s="18">
        <v>0</v>
      </c>
    </row>
    <row r="1348" spans="1:5" x14ac:dyDescent="0.25">
      <c r="A1348" s="18">
        <v>1979</v>
      </c>
      <c r="B1348" s="18" t="s">
        <v>58</v>
      </c>
      <c r="C1348" s="18">
        <v>0</v>
      </c>
      <c r="D1348" s="18">
        <v>0</v>
      </c>
      <c r="E1348" s="18">
        <v>0</v>
      </c>
    </row>
    <row r="1349" spans="1:5" x14ac:dyDescent="0.25">
      <c r="A1349" s="18">
        <v>1980</v>
      </c>
      <c r="B1349" s="18" t="s">
        <v>58</v>
      </c>
      <c r="C1349" s="18">
        <v>4955</v>
      </c>
      <c r="D1349" s="18">
        <v>5234</v>
      </c>
      <c r="E1349" s="18">
        <v>10189</v>
      </c>
    </row>
    <row r="1350" spans="1:5" x14ac:dyDescent="0.25">
      <c r="A1350" s="18">
        <v>1981</v>
      </c>
      <c r="B1350" s="18" t="s">
        <v>58</v>
      </c>
      <c r="C1350" s="18">
        <v>0</v>
      </c>
      <c r="D1350" s="18">
        <v>0</v>
      </c>
      <c r="E1350" s="18">
        <v>0</v>
      </c>
    </row>
    <row r="1351" spans="1:5" x14ac:dyDescent="0.25">
      <c r="A1351" s="18">
        <v>1982</v>
      </c>
      <c r="B1351" s="18" t="s">
        <v>58</v>
      </c>
      <c r="C1351" s="18">
        <v>0</v>
      </c>
      <c r="D1351" s="18">
        <v>0</v>
      </c>
      <c r="E1351" s="18">
        <v>0</v>
      </c>
    </row>
    <row r="1352" spans="1:5" x14ac:dyDescent="0.25">
      <c r="A1352" s="18">
        <v>1983</v>
      </c>
      <c r="B1352" s="18" t="s">
        <v>58</v>
      </c>
      <c r="C1352" s="18">
        <v>0</v>
      </c>
      <c r="D1352" s="18">
        <v>0</v>
      </c>
      <c r="E1352" s="18">
        <v>0</v>
      </c>
    </row>
    <row r="1353" spans="1:5" x14ac:dyDescent="0.25">
      <c r="A1353" s="18">
        <v>1984</v>
      </c>
      <c r="B1353" s="18" t="s">
        <v>58</v>
      </c>
      <c r="C1353" s="18">
        <v>0</v>
      </c>
      <c r="D1353" s="18">
        <v>0</v>
      </c>
      <c r="E1353" s="18">
        <v>0</v>
      </c>
    </row>
    <row r="1354" spans="1:5" x14ac:dyDescent="0.25">
      <c r="A1354" s="18">
        <v>1985</v>
      </c>
      <c r="B1354" s="18" t="s">
        <v>58</v>
      </c>
      <c r="C1354" s="18">
        <v>5381</v>
      </c>
      <c r="D1354" s="18">
        <v>5836</v>
      </c>
      <c r="E1354" s="18">
        <v>11216</v>
      </c>
    </row>
    <row r="1355" spans="1:5" x14ac:dyDescent="0.25">
      <c r="A1355" s="18">
        <v>1986</v>
      </c>
      <c r="B1355" s="18" t="s">
        <v>58</v>
      </c>
      <c r="C1355" s="18">
        <v>0</v>
      </c>
      <c r="D1355" s="18">
        <v>0</v>
      </c>
      <c r="E1355" s="18">
        <v>0</v>
      </c>
    </row>
    <row r="1356" spans="1:5" x14ac:dyDescent="0.25">
      <c r="A1356" s="18">
        <v>1987</v>
      </c>
      <c r="B1356" s="18" t="s">
        <v>58</v>
      </c>
      <c r="C1356" s="18">
        <v>0</v>
      </c>
      <c r="D1356" s="18">
        <v>0</v>
      </c>
      <c r="E1356" s="18">
        <v>0</v>
      </c>
    </row>
    <row r="1357" spans="1:5" x14ac:dyDescent="0.25">
      <c r="A1357" s="18">
        <v>1988</v>
      </c>
      <c r="B1357" s="18" t="s">
        <v>58</v>
      </c>
      <c r="C1357" s="18">
        <v>0</v>
      </c>
      <c r="D1357" s="18">
        <v>0</v>
      </c>
      <c r="E1357" s="18">
        <v>0</v>
      </c>
    </row>
    <row r="1358" spans="1:5" x14ac:dyDescent="0.25">
      <c r="A1358" s="18">
        <v>1989</v>
      </c>
      <c r="B1358" s="18" t="s">
        <v>58</v>
      </c>
      <c r="C1358" s="18">
        <v>0</v>
      </c>
      <c r="D1358" s="18">
        <v>0</v>
      </c>
      <c r="E1358" s="18">
        <v>0</v>
      </c>
    </row>
    <row r="1359" spans="1:5" x14ac:dyDescent="0.25">
      <c r="A1359" s="18">
        <v>1990</v>
      </c>
      <c r="B1359" s="18" t="s">
        <v>58</v>
      </c>
      <c r="C1359" s="18">
        <v>6180</v>
      </c>
      <c r="D1359" s="18">
        <v>6265</v>
      </c>
      <c r="E1359" s="18">
        <v>12444</v>
      </c>
    </row>
    <row r="1360" spans="1:5" x14ac:dyDescent="0.25">
      <c r="A1360" s="18">
        <v>1991</v>
      </c>
      <c r="B1360" s="18" t="s">
        <v>58</v>
      </c>
      <c r="C1360" s="18">
        <v>0</v>
      </c>
      <c r="D1360" s="18">
        <v>0</v>
      </c>
      <c r="E1360" s="18">
        <v>0</v>
      </c>
    </row>
    <row r="1361" spans="1:5" x14ac:dyDescent="0.25">
      <c r="A1361" s="18">
        <v>1992</v>
      </c>
      <c r="B1361" s="18" t="s">
        <v>58</v>
      </c>
      <c r="C1361" s="18">
        <v>0</v>
      </c>
      <c r="D1361" s="18">
        <v>0</v>
      </c>
      <c r="E1361" s="18">
        <v>0</v>
      </c>
    </row>
    <row r="1362" spans="1:5" x14ac:dyDescent="0.25">
      <c r="A1362" s="18">
        <v>1993</v>
      </c>
      <c r="B1362" s="18" t="s">
        <v>58</v>
      </c>
      <c r="C1362" s="18">
        <v>0</v>
      </c>
      <c r="D1362" s="18">
        <v>0</v>
      </c>
      <c r="E1362" s="18">
        <v>0</v>
      </c>
    </row>
    <row r="1363" spans="1:5" x14ac:dyDescent="0.25">
      <c r="A1363" s="18">
        <v>1994</v>
      </c>
      <c r="B1363" s="18" t="s">
        <v>58</v>
      </c>
      <c r="C1363" s="18">
        <v>0</v>
      </c>
      <c r="D1363" s="18">
        <v>0</v>
      </c>
      <c r="E1363" s="18">
        <v>0</v>
      </c>
    </row>
    <row r="1364" spans="1:5" x14ac:dyDescent="0.25">
      <c r="A1364" s="18">
        <v>1995</v>
      </c>
      <c r="B1364" s="18" t="s">
        <v>58</v>
      </c>
      <c r="C1364" s="18">
        <v>0</v>
      </c>
      <c r="D1364" s="18">
        <v>0</v>
      </c>
      <c r="E1364" s="18">
        <v>0</v>
      </c>
    </row>
    <row r="1365" spans="1:5" x14ac:dyDescent="0.25">
      <c r="A1365" s="18">
        <v>1996</v>
      </c>
      <c r="B1365" s="18" t="s">
        <v>58</v>
      </c>
      <c r="C1365" s="18">
        <v>0</v>
      </c>
      <c r="D1365" s="18">
        <v>0</v>
      </c>
      <c r="E1365" s="18">
        <v>0</v>
      </c>
    </row>
    <row r="1366" spans="1:5" x14ac:dyDescent="0.25">
      <c r="A1366" s="18">
        <v>1997</v>
      </c>
      <c r="B1366" s="18" t="s">
        <v>58</v>
      </c>
      <c r="C1366" s="18">
        <v>0</v>
      </c>
      <c r="D1366" s="18">
        <v>0</v>
      </c>
      <c r="E1366" s="18">
        <v>0</v>
      </c>
    </row>
    <row r="1367" spans="1:5" x14ac:dyDescent="0.25">
      <c r="A1367" s="18">
        <v>1998</v>
      </c>
      <c r="B1367" s="18" t="s">
        <v>58</v>
      </c>
      <c r="C1367" s="18">
        <v>0</v>
      </c>
      <c r="D1367" s="18">
        <v>0</v>
      </c>
      <c r="E1367" s="18">
        <v>0</v>
      </c>
    </row>
    <row r="1368" spans="1:5" x14ac:dyDescent="0.25">
      <c r="A1368" s="18">
        <v>1999</v>
      </c>
      <c r="B1368" s="18" t="s">
        <v>58</v>
      </c>
      <c r="C1368" s="18">
        <v>0</v>
      </c>
      <c r="D1368" s="18">
        <v>0</v>
      </c>
      <c r="E1368" s="18">
        <v>0</v>
      </c>
    </row>
    <row r="1369" spans="1:5" x14ac:dyDescent="0.25">
      <c r="A1369" s="18">
        <v>2000</v>
      </c>
      <c r="B1369" s="18" t="s">
        <v>58</v>
      </c>
      <c r="C1369" s="18">
        <v>7113</v>
      </c>
      <c r="D1369" s="18">
        <v>7405</v>
      </c>
      <c r="E1369" s="18">
        <v>14518</v>
      </c>
    </row>
    <row r="1370" spans="1:5" x14ac:dyDescent="0.25">
      <c r="A1370" s="18">
        <v>2001</v>
      </c>
      <c r="B1370" s="18" t="s">
        <v>58</v>
      </c>
      <c r="C1370" s="18">
        <v>0</v>
      </c>
      <c r="D1370" s="18">
        <v>0</v>
      </c>
      <c r="E1370" s="18">
        <v>0</v>
      </c>
    </row>
    <row r="1371" spans="1:5" x14ac:dyDescent="0.25">
      <c r="A1371" s="18">
        <v>2002</v>
      </c>
      <c r="B1371" s="18" t="s">
        <v>58</v>
      </c>
      <c r="C1371" s="18">
        <v>0</v>
      </c>
      <c r="D1371" s="18">
        <v>0</v>
      </c>
      <c r="E1371" s="18">
        <v>0</v>
      </c>
    </row>
    <row r="1372" spans="1:5" x14ac:dyDescent="0.25">
      <c r="A1372" s="18">
        <v>2003</v>
      </c>
      <c r="B1372" s="18" t="s">
        <v>58</v>
      </c>
      <c r="C1372" s="18">
        <v>0</v>
      </c>
      <c r="D1372" s="18">
        <v>0</v>
      </c>
      <c r="E1372" s="18">
        <v>0</v>
      </c>
    </row>
    <row r="1373" spans="1:5" x14ac:dyDescent="0.25">
      <c r="A1373" s="18">
        <v>2004</v>
      </c>
      <c r="B1373" s="18" t="s">
        <v>58</v>
      </c>
      <c r="C1373" s="18">
        <v>0</v>
      </c>
      <c r="D1373" s="18">
        <v>0</v>
      </c>
      <c r="E1373" s="18">
        <v>0</v>
      </c>
    </row>
    <row r="1374" spans="1:5" x14ac:dyDescent="0.25">
      <c r="A1374" s="18">
        <v>2005</v>
      </c>
      <c r="B1374" s="18" t="s">
        <v>58</v>
      </c>
      <c r="C1374" s="18">
        <v>0</v>
      </c>
      <c r="D1374" s="18">
        <v>0</v>
      </c>
      <c r="E1374" s="18">
        <v>0</v>
      </c>
    </row>
    <row r="1375" spans="1:5" x14ac:dyDescent="0.25">
      <c r="A1375" s="18">
        <v>2006</v>
      </c>
      <c r="B1375" s="18" t="s">
        <v>58</v>
      </c>
      <c r="C1375" s="18">
        <v>0</v>
      </c>
      <c r="D1375" s="18">
        <v>0</v>
      </c>
      <c r="E1375" s="18">
        <v>0</v>
      </c>
    </row>
    <row r="1376" spans="1:5" x14ac:dyDescent="0.25">
      <c r="A1376" s="18">
        <v>2007</v>
      </c>
      <c r="B1376" s="18" t="s">
        <v>58</v>
      </c>
      <c r="C1376" s="18">
        <v>0</v>
      </c>
      <c r="D1376" s="18">
        <v>0</v>
      </c>
      <c r="E1376" s="18">
        <v>0</v>
      </c>
    </row>
    <row r="1377" spans="1:5" x14ac:dyDescent="0.25">
      <c r="A1377" s="18">
        <v>2008</v>
      </c>
      <c r="B1377" s="18" t="s">
        <v>58</v>
      </c>
      <c r="C1377" s="18">
        <v>0</v>
      </c>
      <c r="D1377" s="18">
        <v>0</v>
      </c>
      <c r="E1377" s="18">
        <v>0</v>
      </c>
    </row>
    <row r="1378" spans="1:5" x14ac:dyDescent="0.25">
      <c r="A1378" s="18">
        <v>1950</v>
      </c>
      <c r="B1378" s="18" t="s">
        <v>60</v>
      </c>
      <c r="C1378" s="18">
        <v>0</v>
      </c>
      <c r="D1378" s="18">
        <v>0</v>
      </c>
      <c r="E1378" s="18">
        <v>0</v>
      </c>
    </row>
    <row r="1379" spans="1:5" x14ac:dyDescent="0.25">
      <c r="A1379" s="18">
        <v>1951</v>
      </c>
      <c r="B1379" s="18" t="s">
        <v>60</v>
      </c>
      <c r="C1379" s="18">
        <v>0</v>
      </c>
      <c r="D1379" s="18">
        <v>0</v>
      </c>
      <c r="E1379" s="18">
        <v>0</v>
      </c>
    </row>
    <row r="1380" spans="1:5" x14ac:dyDescent="0.25">
      <c r="A1380" s="18">
        <v>1952</v>
      </c>
      <c r="B1380" s="18" t="s">
        <v>60</v>
      </c>
      <c r="C1380" s="18">
        <v>0</v>
      </c>
      <c r="D1380" s="18">
        <v>0</v>
      </c>
      <c r="E1380" s="18">
        <v>0</v>
      </c>
    </row>
    <row r="1381" spans="1:5" x14ac:dyDescent="0.25">
      <c r="A1381" s="18">
        <v>1953</v>
      </c>
      <c r="B1381" s="18" t="s">
        <v>60</v>
      </c>
      <c r="C1381" s="18">
        <v>0</v>
      </c>
      <c r="D1381" s="18">
        <v>0</v>
      </c>
      <c r="E1381" s="18">
        <v>0</v>
      </c>
    </row>
    <row r="1382" spans="1:5" x14ac:dyDescent="0.25">
      <c r="A1382" s="18">
        <v>1954</v>
      </c>
      <c r="B1382" s="18" t="s">
        <v>60</v>
      </c>
      <c r="C1382" s="18">
        <v>0</v>
      </c>
      <c r="D1382" s="18">
        <v>0</v>
      </c>
      <c r="E1382" s="18">
        <v>0</v>
      </c>
    </row>
    <row r="1383" spans="1:5" x14ac:dyDescent="0.25">
      <c r="A1383" s="18">
        <v>1955</v>
      </c>
      <c r="B1383" s="18" t="s">
        <v>60</v>
      </c>
      <c r="C1383" s="18">
        <v>0</v>
      </c>
      <c r="D1383" s="18">
        <v>0</v>
      </c>
      <c r="E1383" s="18">
        <v>0</v>
      </c>
    </row>
    <row r="1384" spans="1:5" x14ac:dyDescent="0.25">
      <c r="A1384" s="18">
        <v>1956</v>
      </c>
      <c r="B1384" s="18" t="s">
        <v>60</v>
      </c>
      <c r="C1384" s="18">
        <v>0</v>
      </c>
      <c r="D1384" s="18">
        <v>0</v>
      </c>
      <c r="E1384" s="18">
        <v>0</v>
      </c>
    </row>
    <row r="1385" spans="1:5" x14ac:dyDescent="0.25">
      <c r="A1385" s="18">
        <v>1957</v>
      </c>
      <c r="B1385" s="18" t="s">
        <v>60</v>
      </c>
      <c r="C1385" s="18">
        <v>0</v>
      </c>
      <c r="D1385" s="18">
        <v>0</v>
      </c>
      <c r="E1385" s="18">
        <v>0</v>
      </c>
    </row>
    <row r="1386" spans="1:5" x14ac:dyDescent="0.25">
      <c r="A1386" s="18">
        <v>1958</v>
      </c>
      <c r="B1386" s="18" t="s">
        <v>60</v>
      </c>
      <c r="C1386" s="18">
        <v>0</v>
      </c>
      <c r="D1386" s="18">
        <v>0</v>
      </c>
      <c r="E1386" s="18">
        <v>0</v>
      </c>
    </row>
    <row r="1387" spans="1:5" x14ac:dyDescent="0.25">
      <c r="A1387" s="18">
        <v>1959</v>
      </c>
      <c r="B1387" s="18" t="s">
        <v>60</v>
      </c>
      <c r="C1387" s="18">
        <v>0</v>
      </c>
      <c r="D1387" s="18">
        <v>0</v>
      </c>
      <c r="E1387" s="18">
        <v>0</v>
      </c>
    </row>
    <row r="1388" spans="1:5" x14ac:dyDescent="0.25">
      <c r="A1388" s="18">
        <v>1960</v>
      </c>
      <c r="B1388" s="18" t="s">
        <v>60</v>
      </c>
      <c r="C1388" s="18">
        <v>0</v>
      </c>
      <c r="D1388" s="18">
        <v>0</v>
      </c>
      <c r="E1388" s="18">
        <v>0</v>
      </c>
    </row>
    <row r="1389" spans="1:5" x14ac:dyDescent="0.25">
      <c r="A1389" s="18">
        <v>1961</v>
      </c>
      <c r="B1389" s="18" t="s">
        <v>60</v>
      </c>
      <c r="C1389" s="18">
        <v>0</v>
      </c>
      <c r="D1389" s="18">
        <v>0</v>
      </c>
      <c r="E1389" s="18">
        <v>0</v>
      </c>
    </row>
    <row r="1390" spans="1:5" x14ac:dyDescent="0.25">
      <c r="A1390" s="18">
        <v>1962</v>
      </c>
      <c r="B1390" s="18" t="s">
        <v>60</v>
      </c>
      <c r="C1390" s="18">
        <v>0</v>
      </c>
      <c r="D1390" s="18">
        <v>0</v>
      </c>
      <c r="E1390" s="18">
        <v>0</v>
      </c>
    </row>
    <row r="1391" spans="1:5" x14ac:dyDescent="0.25">
      <c r="A1391" s="18">
        <v>1963</v>
      </c>
      <c r="B1391" s="18" t="s">
        <v>60</v>
      </c>
      <c r="C1391" s="18">
        <v>0</v>
      </c>
      <c r="D1391" s="18">
        <v>0</v>
      </c>
      <c r="E1391" s="18">
        <v>0</v>
      </c>
    </row>
    <row r="1392" spans="1:5" x14ac:dyDescent="0.25">
      <c r="A1392" s="18">
        <v>1964</v>
      </c>
      <c r="B1392" s="18" t="s">
        <v>60</v>
      </c>
      <c r="C1392" s="18">
        <v>0</v>
      </c>
      <c r="D1392" s="18">
        <v>0</v>
      </c>
      <c r="E1392" s="18">
        <v>0</v>
      </c>
    </row>
    <row r="1393" spans="1:5" x14ac:dyDescent="0.25">
      <c r="A1393" s="18">
        <v>1965</v>
      </c>
      <c r="B1393" s="18" t="s">
        <v>60</v>
      </c>
      <c r="C1393" s="18">
        <v>0</v>
      </c>
      <c r="D1393" s="18">
        <v>0</v>
      </c>
      <c r="E1393" s="18">
        <v>0</v>
      </c>
    </row>
    <row r="1394" spans="1:5" x14ac:dyDescent="0.25">
      <c r="A1394" s="18">
        <v>1966</v>
      </c>
      <c r="B1394" s="18" t="s">
        <v>60</v>
      </c>
      <c r="C1394" s="18">
        <v>0</v>
      </c>
      <c r="D1394" s="18">
        <v>0</v>
      </c>
      <c r="E1394" s="18">
        <v>0</v>
      </c>
    </row>
    <row r="1395" spans="1:5" x14ac:dyDescent="0.25">
      <c r="A1395" s="18">
        <v>1967</v>
      </c>
      <c r="B1395" s="18" t="s">
        <v>60</v>
      </c>
      <c r="C1395" s="18">
        <v>0</v>
      </c>
      <c r="D1395" s="18">
        <v>0</v>
      </c>
      <c r="E1395" s="18">
        <v>0</v>
      </c>
    </row>
    <row r="1396" spans="1:5" x14ac:dyDescent="0.25">
      <c r="A1396" s="18">
        <v>1968</v>
      </c>
      <c r="B1396" s="18" t="s">
        <v>60</v>
      </c>
      <c r="C1396" s="18">
        <v>0</v>
      </c>
      <c r="D1396" s="18">
        <v>0</v>
      </c>
      <c r="E1396" s="18">
        <v>0</v>
      </c>
    </row>
    <row r="1397" spans="1:5" x14ac:dyDescent="0.25">
      <c r="A1397" s="18">
        <v>1969</v>
      </c>
      <c r="B1397" s="18" t="s">
        <v>60</v>
      </c>
      <c r="C1397" s="18">
        <v>0</v>
      </c>
      <c r="D1397" s="18">
        <v>0</v>
      </c>
      <c r="E1397" s="18">
        <v>0</v>
      </c>
    </row>
    <row r="1398" spans="1:5" x14ac:dyDescent="0.25">
      <c r="A1398" s="18">
        <v>1970</v>
      </c>
      <c r="B1398" s="18" t="s">
        <v>60</v>
      </c>
      <c r="C1398" s="18">
        <v>0</v>
      </c>
      <c r="D1398" s="18">
        <v>0</v>
      </c>
      <c r="E1398" s="18">
        <v>0</v>
      </c>
    </row>
    <row r="1399" spans="1:5" x14ac:dyDescent="0.25">
      <c r="A1399" s="18">
        <v>1971</v>
      </c>
      <c r="B1399" s="18" t="s">
        <v>60</v>
      </c>
      <c r="C1399" s="18">
        <v>0</v>
      </c>
      <c r="D1399" s="18">
        <v>0</v>
      </c>
      <c r="E1399" s="18">
        <v>0</v>
      </c>
    </row>
    <row r="1400" spans="1:5" x14ac:dyDescent="0.25">
      <c r="A1400" s="18">
        <v>1972</v>
      </c>
      <c r="B1400" s="18" t="s">
        <v>60</v>
      </c>
      <c r="C1400" s="18">
        <v>0</v>
      </c>
      <c r="D1400" s="18">
        <v>0</v>
      </c>
      <c r="E1400" s="18">
        <v>0</v>
      </c>
    </row>
    <row r="1401" spans="1:5" x14ac:dyDescent="0.25">
      <c r="A1401" s="18">
        <v>1973</v>
      </c>
      <c r="B1401" s="18" t="s">
        <v>60</v>
      </c>
      <c r="C1401" s="18">
        <v>0</v>
      </c>
      <c r="D1401" s="18">
        <v>0</v>
      </c>
      <c r="E1401" s="18">
        <v>0</v>
      </c>
    </row>
    <row r="1402" spans="1:5" x14ac:dyDescent="0.25">
      <c r="A1402" s="18">
        <v>1974</v>
      </c>
      <c r="B1402" s="18" t="s">
        <v>60</v>
      </c>
      <c r="C1402" s="18">
        <v>0</v>
      </c>
      <c r="D1402" s="18">
        <v>0</v>
      </c>
      <c r="E1402" s="18">
        <v>0</v>
      </c>
    </row>
    <row r="1403" spans="1:5" x14ac:dyDescent="0.25">
      <c r="A1403" s="18">
        <v>1975</v>
      </c>
      <c r="B1403" s="18" t="s">
        <v>60</v>
      </c>
      <c r="C1403" s="18">
        <v>0</v>
      </c>
      <c r="D1403" s="18">
        <v>0</v>
      </c>
      <c r="E1403" s="18">
        <v>0</v>
      </c>
    </row>
    <row r="1404" spans="1:5" x14ac:dyDescent="0.25">
      <c r="A1404" s="18">
        <v>1976</v>
      </c>
      <c r="B1404" s="18" t="s">
        <v>60</v>
      </c>
      <c r="C1404" s="18">
        <v>0</v>
      </c>
      <c r="D1404" s="18">
        <v>0</v>
      </c>
      <c r="E1404" s="18">
        <v>0</v>
      </c>
    </row>
    <row r="1405" spans="1:5" x14ac:dyDescent="0.25">
      <c r="A1405" s="18">
        <v>1977</v>
      </c>
      <c r="B1405" s="18" t="s">
        <v>60</v>
      </c>
      <c r="C1405" s="18">
        <v>0</v>
      </c>
      <c r="D1405" s="18">
        <v>0</v>
      </c>
      <c r="E1405" s="18">
        <v>0</v>
      </c>
    </row>
    <row r="1406" spans="1:5" x14ac:dyDescent="0.25">
      <c r="A1406" s="18">
        <v>1978</v>
      </c>
      <c r="B1406" s="18" t="s">
        <v>60</v>
      </c>
      <c r="C1406" s="18">
        <v>0</v>
      </c>
      <c r="D1406" s="18">
        <v>0</v>
      </c>
      <c r="E1406" s="18">
        <v>0</v>
      </c>
    </row>
    <row r="1407" spans="1:5" x14ac:dyDescent="0.25">
      <c r="A1407" s="18">
        <v>1979</v>
      </c>
      <c r="B1407" s="18" t="s">
        <v>60</v>
      </c>
      <c r="C1407" s="18">
        <v>0</v>
      </c>
      <c r="D1407" s="18">
        <v>0</v>
      </c>
      <c r="E1407" s="18">
        <v>0</v>
      </c>
    </row>
    <row r="1408" spans="1:5" x14ac:dyDescent="0.25">
      <c r="A1408" s="18">
        <v>1980</v>
      </c>
      <c r="B1408" s="18" t="s">
        <v>60</v>
      </c>
      <c r="C1408" s="18">
        <v>0</v>
      </c>
      <c r="D1408" s="18">
        <v>0</v>
      </c>
      <c r="E1408" s="18">
        <v>0</v>
      </c>
    </row>
    <row r="1409" spans="1:5" x14ac:dyDescent="0.25">
      <c r="A1409" s="18">
        <v>1981</v>
      </c>
      <c r="B1409" s="18" t="s">
        <v>60</v>
      </c>
      <c r="C1409" s="18">
        <v>0</v>
      </c>
      <c r="D1409" s="18">
        <v>0</v>
      </c>
      <c r="E1409" s="18">
        <v>0</v>
      </c>
    </row>
    <row r="1410" spans="1:5" x14ac:dyDescent="0.25">
      <c r="A1410" s="18">
        <v>1982</v>
      </c>
      <c r="B1410" s="18" t="s">
        <v>60</v>
      </c>
      <c r="C1410" s="18">
        <v>0</v>
      </c>
      <c r="D1410" s="18">
        <v>0</v>
      </c>
      <c r="E1410" s="18">
        <v>0</v>
      </c>
    </row>
    <row r="1411" spans="1:5" x14ac:dyDescent="0.25">
      <c r="A1411" s="18">
        <v>1983</v>
      </c>
      <c r="B1411" s="18" t="s">
        <v>60</v>
      </c>
      <c r="C1411" s="18">
        <v>0</v>
      </c>
      <c r="D1411" s="18">
        <v>0</v>
      </c>
      <c r="E1411" s="18">
        <v>0</v>
      </c>
    </row>
    <row r="1412" spans="1:5" x14ac:dyDescent="0.25">
      <c r="A1412" s="18">
        <v>1984</v>
      </c>
      <c r="B1412" s="18" t="s">
        <v>60</v>
      </c>
      <c r="C1412" s="18">
        <v>0</v>
      </c>
      <c r="D1412" s="18">
        <v>0</v>
      </c>
      <c r="E1412" s="18">
        <v>0</v>
      </c>
    </row>
    <row r="1413" spans="1:5" x14ac:dyDescent="0.25">
      <c r="A1413" s="18">
        <v>1985</v>
      </c>
      <c r="B1413" s="18" t="s">
        <v>60</v>
      </c>
      <c r="C1413" s="18">
        <v>0</v>
      </c>
      <c r="D1413" s="18">
        <v>0</v>
      </c>
      <c r="E1413" s="18">
        <v>0</v>
      </c>
    </row>
    <row r="1414" spans="1:5" x14ac:dyDescent="0.25">
      <c r="A1414" s="18">
        <v>1986</v>
      </c>
      <c r="B1414" s="18" t="s">
        <v>60</v>
      </c>
      <c r="C1414" s="18">
        <v>0</v>
      </c>
      <c r="D1414" s="18">
        <v>0</v>
      </c>
      <c r="E1414" s="18">
        <v>0</v>
      </c>
    </row>
    <row r="1415" spans="1:5" x14ac:dyDescent="0.25">
      <c r="A1415" s="18">
        <v>1987</v>
      </c>
      <c r="B1415" s="18" t="s">
        <v>60</v>
      </c>
      <c r="C1415" s="18">
        <v>0</v>
      </c>
      <c r="D1415" s="18">
        <v>0</v>
      </c>
      <c r="E1415" s="18">
        <v>0</v>
      </c>
    </row>
    <row r="1416" spans="1:5" x14ac:dyDescent="0.25">
      <c r="A1416" s="18">
        <v>1988</v>
      </c>
      <c r="B1416" s="18" t="s">
        <v>60</v>
      </c>
      <c r="C1416" s="18">
        <v>0</v>
      </c>
      <c r="D1416" s="18">
        <v>0</v>
      </c>
      <c r="E1416" s="18">
        <v>0</v>
      </c>
    </row>
    <row r="1417" spans="1:5" x14ac:dyDescent="0.25">
      <c r="A1417" s="18">
        <v>1989</v>
      </c>
      <c r="B1417" s="18" t="s">
        <v>60</v>
      </c>
      <c r="C1417" s="18">
        <v>0</v>
      </c>
      <c r="D1417" s="18">
        <v>0</v>
      </c>
      <c r="E1417" s="18">
        <v>0</v>
      </c>
    </row>
    <row r="1418" spans="1:5" x14ac:dyDescent="0.25">
      <c r="A1418" s="18">
        <v>1990</v>
      </c>
      <c r="B1418" s="18" t="s">
        <v>60</v>
      </c>
      <c r="C1418" s="18">
        <v>2133</v>
      </c>
      <c r="D1418" s="18">
        <v>2228</v>
      </c>
      <c r="E1418" s="18">
        <v>4362</v>
      </c>
    </row>
    <row r="1419" spans="1:5" x14ac:dyDescent="0.25">
      <c r="A1419" s="18">
        <v>1991</v>
      </c>
      <c r="B1419" s="18" t="s">
        <v>60</v>
      </c>
      <c r="C1419" s="18">
        <v>0</v>
      </c>
      <c r="D1419" s="18">
        <v>0</v>
      </c>
      <c r="E1419" s="18">
        <v>0</v>
      </c>
    </row>
    <row r="1420" spans="1:5" x14ac:dyDescent="0.25">
      <c r="A1420" s="18">
        <v>1992</v>
      </c>
      <c r="B1420" s="18" t="s">
        <v>60</v>
      </c>
      <c r="C1420" s="18">
        <v>0</v>
      </c>
      <c r="D1420" s="18">
        <v>0</v>
      </c>
      <c r="E1420" s="18">
        <v>0</v>
      </c>
    </row>
    <row r="1421" spans="1:5" x14ac:dyDescent="0.25">
      <c r="A1421" s="18">
        <v>1993</v>
      </c>
      <c r="B1421" s="18" t="s">
        <v>60</v>
      </c>
      <c r="C1421" s="18">
        <v>0</v>
      </c>
      <c r="D1421" s="18">
        <v>0</v>
      </c>
      <c r="E1421" s="18">
        <v>0</v>
      </c>
    </row>
    <row r="1422" spans="1:5" x14ac:dyDescent="0.25">
      <c r="A1422" s="18">
        <v>1994</v>
      </c>
      <c r="B1422" s="18" t="s">
        <v>60</v>
      </c>
      <c r="C1422" s="18">
        <v>0</v>
      </c>
      <c r="D1422" s="18">
        <v>0</v>
      </c>
      <c r="E1422" s="18">
        <v>0</v>
      </c>
    </row>
    <row r="1423" spans="1:5" x14ac:dyDescent="0.25">
      <c r="A1423" s="18">
        <v>1995</v>
      </c>
      <c r="B1423" s="18" t="s">
        <v>60</v>
      </c>
      <c r="C1423" s="18">
        <v>0</v>
      </c>
      <c r="D1423" s="18">
        <v>0</v>
      </c>
      <c r="E1423" s="18">
        <v>0</v>
      </c>
    </row>
    <row r="1424" spans="1:5" x14ac:dyDescent="0.25">
      <c r="A1424" s="18">
        <v>1996</v>
      </c>
      <c r="B1424" s="18" t="s">
        <v>60</v>
      </c>
      <c r="C1424" s="18">
        <v>0</v>
      </c>
      <c r="D1424" s="18">
        <v>0</v>
      </c>
      <c r="E1424" s="18">
        <v>0</v>
      </c>
    </row>
    <row r="1425" spans="1:5" x14ac:dyDescent="0.25">
      <c r="A1425" s="18">
        <v>1997</v>
      </c>
      <c r="B1425" s="18" t="s">
        <v>60</v>
      </c>
      <c r="C1425" s="18">
        <v>0</v>
      </c>
      <c r="D1425" s="18">
        <v>0</v>
      </c>
      <c r="E1425" s="18">
        <v>0</v>
      </c>
    </row>
    <row r="1426" spans="1:5" x14ac:dyDescent="0.25">
      <c r="A1426" s="18">
        <v>1998</v>
      </c>
      <c r="B1426" s="18" t="s">
        <v>60</v>
      </c>
      <c r="C1426" s="18">
        <v>0</v>
      </c>
      <c r="D1426" s="18">
        <v>0</v>
      </c>
      <c r="E1426" s="18">
        <v>0</v>
      </c>
    </row>
    <row r="1427" spans="1:5" x14ac:dyDescent="0.25">
      <c r="A1427" s="18">
        <v>1999</v>
      </c>
      <c r="B1427" s="18" t="s">
        <v>60</v>
      </c>
      <c r="C1427" s="18">
        <v>0</v>
      </c>
      <c r="D1427" s="18">
        <v>0</v>
      </c>
      <c r="E1427" s="18">
        <v>0</v>
      </c>
    </row>
    <row r="1428" spans="1:5" x14ac:dyDescent="0.25">
      <c r="A1428" s="18">
        <v>2000</v>
      </c>
      <c r="B1428" s="18" t="s">
        <v>60</v>
      </c>
      <c r="C1428" s="18">
        <v>2368</v>
      </c>
      <c r="D1428" s="18">
        <v>2546</v>
      </c>
      <c r="E1428" s="18">
        <v>4914</v>
      </c>
    </row>
    <row r="1429" spans="1:5" x14ac:dyDescent="0.25">
      <c r="A1429" s="18">
        <v>2001</v>
      </c>
      <c r="B1429" s="18" t="s">
        <v>60</v>
      </c>
      <c r="C1429" s="18">
        <v>0</v>
      </c>
      <c r="D1429" s="18">
        <v>0</v>
      </c>
      <c r="E1429" s="18">
        <v>0</v>
      </c>
    </row>
    <row r="1430" spans="1:5" x14ac:dyDescent="0.25">
      <c r="A1430" s="18">
        <v>2002</v>
      </c>
      <c r="B1430" s="18" t="s">
        <v>60</v>
      </c>
      <c r="C1430" s="18">
        <v>0</v>
      </c>
      <c r="D1430" s="18">
        <v>0</v>
      </c>
      <c r="E1430" s="18">
        <v>0</v>
      </c>
    </row>
    <row r="1431" spans="1:5" x14ac:dyDescent="0.25">
      <c r="A1431" s="18">
        <v>2003</v>
      </c>
      <c r="B1431" s="18" t="s">
        <v>60</v>
      </c>
      <c r="C1431" s="18">
        <v>0</v>
      </c>
      <c r="D1431" s="18">
        <v>0</v>
      </c>
      <c r="E1431" s="18">
        <v>0</v>
      </c>
    </row>
    <row r="1432" spans="1:5" x14ac:dyDescent="0.25">
      <c r="A1432" s="18">
        <v>2004</v>
      </c>
      <c r="B1432" s="18" t="s">
        <v>60</v>
      </c>
      <c r="C1432" s="18">
        <v>0</v>
      </c>
      <c r="D1432" s="18">
        <v>0</v>
      </c>
      <c r="E1432" s="18">
        <v>0</v>
      </c>
    </row>
    <row r="1433" spans="1:5" x14ac:dyDescent="0.25">
      <c r="A1433" s="18">
        <v>2005</v>
      </c>
      <c r="B1433" s="18" t="s">
        <v>60</v>
      </c>
      <c r="C1433" s="18">
        <v>0</v>
      </c>
      <c r="D1433" s="18">
        <v>0</v>
      </c>
      <c r="E1433" s="18">
        <v>0</v>
      </c>
    </row>
    <row r="1434" spans="1:5" x14ac:dyDescent="0.25">
      <c r="A1434" s="18">
        <v>2006</v>
      </c>
      <c r="B1434" s="18" t="s">
        <v>60</v>
      </c>
      <c r="C1434" s="18">
        <v>0</v>
      </c>
      <c r="D1434" s="18">
        <v>0</v>
      </c>
      <c r="E1434" s="18">
        <v>0</v>
      </c>
    </row>
    <row r="1435" spans="1:5" x14ac:dyDescent="0.25">
      <c r="A1435" s="18">
        <v>2007</v>
      </c>
      <c r="B1435" s="18" t="s">
        <v>60</v>
      </c>
      <c r="C1435" s="18">
        <v>0</v>
      </c>
      <c r="D1435" s="18">
        <v>0</v>
      </c>
      <c r="E1435" s="18">
        <v>0</v>
      </c>
    </row>
    <row r="1436" spans="1:5" x14ac:dyDescent="0.25">
      <c r="A1436" s="18">
        <v>2008</v>
      </c>
      <c r="B1436" s="18" t="s">
        <v>60</v>
      </c>
      <c r="C1436" s="18">
        <v>0</v>
      </c>
      <c r="D1436" s="18">
        <v>0</v>
      </c>
      <c r="E1436" s="18">
        <v>0</v>
      </c>
    </row>
    <row r="1437" spans="1:5" x14ac:dyDescent="0.25">
      <c r="A1437" s="18">
        <v>1950</v>
      </c>
      <c r="B1437" s="18" t="s">
        <v>108</v>
      </c>
      <c r="C1437" s="18">
        <v>0</v>
      </c>
      <c r="D1437" s="18">
        <v>0</v>
      </c>
      <c r="E1437" s="18">
        <v>0</v>
      </c>
    </row>
    <row r="1438" spans="1:5" x14ac:dyDescent="0.25">
      <c r="A1438" s="18">
        <v>1951</v>
      </c>
      <c r="B1438" s="18" t="s">
        <v>108</v>
      </c>
      <c r="C1438" s="18">
        <v>0</v>
      </c>
      <c r="D1438" s="18">
        <v>0</v>
      </c>
      <c r="E1438" s="18">
        <v>0</v>
      </c>
    </row>
    <row r="1439" spans="1:5" x14ac:dyDescent="0.25">
      <c r="A1439" s="18">
        <v>1952</v>
      </c>
      <c r="B1439" s="18" t="s">
        <v>108</v>
      </c>
      <c r="C1439" s="18">
        <v>0</v>
      </c>
      <c r="D1439" s="18">
        <v>0</v>
      </c>
      <c r="E1439" s="18">
        <v>0</v>
      </c>
    </row>
    <row r="1440" spans="1:5" x14ac:dyDescent="0.25">
      <c r="A1440" s="18">
        <v>1953</v>
      </c>
      <c r="B1440" s="18" t="s">
        <v>108</v>
      </c>
      <c r="C1440" s="18">
        <v>0</v>
      </c>
      <c r="D1440" s="18">
        <v>0</v>
      </c>
      <c r="E1440" s="18">
        <v>0</v>
      </c>
    </row>
    <row r="1441" spans="1:5" x14ac:dyDescent="0.25">
      <c r="A1441" s="18">
        <v>1954</v>
      </c>
      <c r="B1441" s="18" t="s">
        <v>108</v>
      </c>
      <c r="C1441" s="18">
        <v>0</v>
      </c>
      <c r="D1441" s="18">
        <v>0</v>
      </c>
      <c r="E1441" s="18">
        <v>0</v>
      </c>
    </row>
    <row r="1442" spans="1:5" x14ac:dyDescent="0.25">
      <c r="A1442" s="18">
        <v>1955</v>
      </c>
      <c r="B1442" s="18" t="s">
        <v>108</v>
      </c>
      <c r="C1442" s="18">
        <v>0</v>
      </c>
      <c r="D1442" s="18">
        <v>0</v>
      </c>
      <c r="E1442" s="18">
        <v>0</v>
      </c>
    </row>
    <row r="1443" spans="1:5" x14ac:dyDescent="0.25">
      <c r="A1443" s="18">
        <v>1956</v>
      </c>
      <c r="B1443" s="18" t="s">
        <v>108</v>
      </c>
      <c r="C1443" s="18">
        <v>0</v>
      </c>
      <c r="D1443" s="18">
        <v>0</v>
      </c>
      <c r="E1443" s="18">
        <v>0</v>
      </c>
    </row>
    <row r="1444" spans="1:5" x14ac:dyDescent="0.25">
      <c r="A1444" s="18">
        <v>1957</v>
      </c>
      <c r="B1444" s="18" t="s">
        <v>108</v>
      </c>
      <c r="C1444" s="18">
        <v>0</v>
      </c>
      <c r="D1444" s="18">
        <v>0</v>
      </c>
      <c r="E1444" s="18">
        <v>0</v>
      </c>
    </row>
    <row r="1445" spans="1:5" x14ac:dyDescent="0.25">
      <c r="A1445" s="18">
        <v>1958</v>
      </c>
      <c r="B1445" s="18" t="s">
        <v>108</v>
      </c>
      <c r="C1445" s="18">
        <v>0</v>
      </c>
      <c r="D1445" s="18">
        <v>0</v>
      </c>
      <c r="E1445" s="18">
        <v>0</v>
      </c>
    </row>
    <row r="1446" spans="1:5" x14ac:dyDescent="0.25">
      <c r="A1446" s="18">
        <v>1959</v>
      </c>
      <c r="B1446" s="18" t="s">
        <v>108</v>
      </c>
      <c r="C1446" s="18">
        <v>0</v>
      </c>
      <c r="D1446" s="18">
        <v>0</v>
      </c>
      <c r="E1446" s="18">
        <v>0</v>
      </c>
    </row>
    <row r="1447" spans="1:5" x14ac:dyDescent="0.25">
      <c r="A1447" s="18">
        <v>1960</v>
      </c>
      <c r="B1447" s="18" t="s">
        <v>108</v>
      </c>
      <c r="C1447" s="18">
        <v>0</v>
      </c>
      <c r="D1447" s="18">
        <v>0</v>
      </c>
      <c r="E1447" s="18">
        <v>0</v>
      </c>
    </row>
    <row r="1448" spans="1:5" x14ac:dyDescent="0.25">
      <c r="A1448" s="18">
        <v>1961</v>
      </c>
      <c r="B1448" s="18" t="s">
        <v>108</v>
      </c>
      <c r="C1448" s="18">
        <v>0</v>
      </c>
      <c r="D1448" s="18">
        <v>0</v>
      </c>
      <c r="E1448" s="18">
        <v>0</v>
      </c>
    </row>
    <row r="1449" spans="1:5" x14ac:dyDescent="0.25">
      <c r="A1449" s="18">
        <v>1962</v>
      </c>
      <c r="B1449" s="18" t="s">
        <v>108</v>
      </c>
      <c r="C1449" s="18">
        <v>0</v>
      </c>
      <c r="D1449" s="18">
        <v>0</v>
      </c>
      <c r="E1449" s="18">
        <v>0</v>
      </c>
    </row>
    <row r="1450" spans="1:5" x14ac:dyDescent="0.25">
      <c r="A1450" s="18">
        <v>1963</v>
      </c>
      <c r="B1450" s="18" t="s">
        <v>108</v>
      </c>
      <c r="C1450" s="18">
        <v>0</v>
      </c>
      <c r="D1450" s="18">
        <v>0</v>
      </c>
      <c r="E1450" s="18">
        <v>0</v>
      </c>
    </row>
    <row r="1451" spans="1:5" x14ac:dyDescent="0.25">
      <c r="A1451" s="18">
        <v>1964</v>
      </c>
      <c r="B1451" s="18" t="s">
        <v>108</v>
      </c>
      <c r="C1451" s="18">
        <v>0</v>
      </c>
      <c r="D1451" s="18">
        <v>0</v>
      </c>
      <c r="E1451" s="18">
        <v>0</v>
      </c>
    </row>
    <row r="1452" spans="1:5" x14ac:dyDescent="0.25">
      <c r="A1452" s="18">
        <v>1965</v>
      </c>
      <c r="B1452" s="18" t="s">
        <v>108</v>
      </c>
      <c r="C1452" s="18">
        <v>0</v>
      </c>
      <c r="D1452" s="18">
        <v>0</v>
      </c>
      <c r="E1452" s="18">
        <v>0</v>
      </c>
    </row>
    <row r="1453" spans="1:5" x14ac:dyDescent="0.25">
      <c r="A1453" s="18">
        <v>1966</v>
      </c>
      <c r="B1453" s="18" t="s">
        <v>108</v>
      </c>
      <c r="C1453" s="18">
        <v>0</v>
      </c>
      <c r="D1453" s="18">
        <v>0</v>
      </c>
      <c r="E1453" s="18">
        <v>0</v>
      </c>
    </row>
    <row r="1454" spans="1:5" x14ac:dyDescent="0.25">
      <c r="A1454" s="18">
        <v>1967</v>
      </c>
      <c r="B1454" s="18" t="s">
        <v>108</v>
      </c>
      <c r="C1454" s="18">
        <v>0</v>
      </c>
      <c r="D1454" s="18">
        <v>0</v>
      </c>
      <c r="E1454" s="18">
        <v>0</v>
      </c>
    </row>
    <row r="1455" spans="1:5" x14ac:dyDescent="0.25">
      <c r="A1455" s="18">
        <v>1968</v>
      </c>
      <c r="B1455" s="18" t="s">
        <v>108</v>
      </c>
      <c r="C1455" s="18">
        <v>0</v>
      </c>
      <c r="D1455" s="18">
        <v>0</v>
      </c>
      <c r="E1455" s="18">
        <v>0</v>
      </c>
    </row>
    <row r="1456" spans="1:5" x14ac:dyDescent="0.25">
      <c r="A1456" s="18">
        <v>1969</v>
      </c>
      <c r="B1456" s="18" t="s">
        <v>108</v>
      </c>
      <c r="C1456" s="18">
        <v>0</v>
      </c>
      <c r="D1456" s="18">
        <v>0</v>
      </c>
      <c r="E1456" s="18">
        <v>0</v>
      </c>
    </row>
    <row r="1457" spans="1:5" x14ac:dyDescent="0.25">
      <c r="A1457" s="18">
        <v>1970</v>
      </c>
      <c r="B1457" s="18" t="s">
        <v>108</v>
      </c>
      <c r="C1457" s="18">
        <v>0</v>
      </c>
      <c r="D1457" s="18">
        <v>0</v>
      </c>
      <c r="E1457" s="18">
        <v>0</v>
      </c>
    </row>
    <row r="1458" spans="1:5" x14ac:dyDescent="0.25">
      <c r="A1458" s="18">
        <v>1971</v>
      </c>
      <c r="B1458" s="18" t="s">
        <v>108</v>
      </c>
      <c r="C1458" s="18">
        <v>0</v>
      </c>
      <c r="D1458" s="18">
        <v>0</v>
      </c>
      <c r="E1458" s="18">
        <v>0</v>
      </c>
    </row>
    <row r="1459" spans="1:5" x14ac:dyDescent="0.25">
      <c r="A1459" s="18">
        <v>1972</v>
      </c>
      <c r="B1459" s="18" t="s">
        <v>108</v>
      </c>
      <c r="C1459" s="18">
        <v>0</v>
      </c>
      <c r="D1459" s="18">
        <v>0</v>
      </c>
      <c r="E1459" s="18">
        <v>0</v>
      </c>
    </row>
    <row r="1460" spans="1:5" x14ac:dyDescent="0.25">
      <c r="A1460" s="18">
        <v>1973</v>
      </c>
      <c r="B1460" s="18" t="s">
        <v>108</v>
      </c>
      <c r="C1460" s="18">
        <v>0</v>
      </c>
      <c r="D1460" s="18">
        <v>0</v>
      </c>
      <c r="E1460" s="18">
        <v>0</v>
      </c>
    </row>
    <row r="1461" spans="1:5" x14ac:dyDescent="0.25">
      <c r="A1461" s="18">
        <v>1974</v>
      </c>
      <c r="B1461" s="18" t="s">
        <v>108</v>
      </c>
      <c r="C1461" s="18">
        <v>0</v>
      </c>
      <c r="D1461" s="18">
        <v>0</v>
      </c>
      <c r="E1461" s="18">
        <v>0</v>
      </c>
    </row>
    <row r="1462" spans="1:5" x14ac:dyDescent="0.25">
      <c r="A1462" s="18">
        <v>1975</v>
      </c>
      <c r="B1462" s="18" t="s">
        <v>108</v>
      </c>
      <c r="C1462" s="18">
        <v>1154</v>
      </c>
      <c r="D1462" s="18">
        <v>1345</v>
      </c>
      <c r="E1462" s="18">
        <v>2496</v>
      </c>
    </row>
    <row r="1463" spans="1:5" x14ac:dyDescent="0.25">
      <c r="A1463" s="18">
        <v>1976</v>
      </c>
      <c r="B1463" s="18" t="s">
        <v>108</v>
      </c>
      <c r="C1463" s="18">
        <v>0</v>
      </c>
      <c r="D1463" s="18">
        <v>0</v>
      </c>
      <c r="E1463" s="18">
        <v>0</v>
      </c>
    </row>
    <row r="1464" spans="1:5" x14ac:dyDescent="0.25">
      <c r="A1464" s="18">
        <v>1977</v>
      </c>
      <c r="B1464" s="18" t="s">
        <v>108</v>
      </c>
      <c r="C1464" s="18">
        <v>0</v>
      </c>
      <c r="D1464" s="18">
        <v>0</v>
      </c>
      <c r="E1464" s="18">
        <v>0</v>
      </c>
    </row>
    <row r="1465" spans="1:5" x14ac:dyDescent="0.25">
      <c r="A1465" s="18">
        <v>1978</v>
      </c>
      <c r="B1465" s="18" t="s">
        <v>108</v>
      </c>
      <c r="C1465" s="18">
        <v>0</v>
      </c>
      <c r="D1465" s="18">
        <v>0</v>
      </c>
      <c r="E1465" s="18">
        <v>0</v>
      </c>
    </row>
    <row r="1466" spans="1:5" x14ac:dyDescent="0.25">
      <c r="A1466" s="18">
        <v>1979</v>
      </c>
      <c r="B1466" s="18" t="s">
        <v>108</v>
      </c>
      <c r="C1466" s="18">
        <v>0</v>
      </c>
      <c r="D1466" s="18">
        <v>0</v>
      </c>
      <c r="E1466" s="18">
        <v>0</v>
      </c>
    </row>
    <row r="1467" spans="1:5" x14ac:dyDescent="0.25">
      <c r="A1467" s="18">
        <v>1980</v>
      </c>
      <c r="B1467" s="18" t="s">
        <v>108</v>
      </c>
      <c r="C1467" s="18">
        <v>1141</v>
      </c>
      <c r="D1467" s="18">
        <v>1099</v>
      </c>
      <c r="E1467" s="18">
        <v>2236</v>
      </c>
    </row>
    <row r="1468" spans="1:5" x14ac:dyDescent="0.25">
      <c r="A1468" s="18">
        <v>1981</v>
      </c>
      <c r="B1468" s="18" t="s">
        <v>108</v>
      </c>
      <c r="C1468" s="18">
        <v>0</v>
      </c>
      <c r="D1468" s="18">
        <v>0</v>
      </c>
      <c r="E1468" s="18">
        <v>0</v>
      </c>
    </row>
    <row r="1469" spans="1:5" x14ac:dyDescent="0.25">
      <c r="A1469" s="18">
        <v>1982</v>
      </c>
      <c r="B1469" s="18" t="s">
        <v>108</v>
      </c>
      <c r="C1469" s="18">
        <v>0</v>
      </c>
      <c r="D1469" s="18">
        <v>0</v>
      </c>
      <c r="E1469" s="18">
        <v>0</v>
      </c>
    </row>
    <row r="1470" spans="1:5" x14ac:dyDescent="0.25">
      <c r="A1470" s="18">
        <v>1983</v>
      </c>
      <c r="B1470" s="18" t="s">
        <v>108</v>
      </c>
      <c r="C1470" s="18">
        <v>0</v>
      </c>
      <c r="D1470" s="18">
        <v>0</v>
      </c>
      <c r="E1470" s="18">
        <v>0</v>
      </c>
    </row>
    <row r="1471" spans="1:5" x14ac:dyDescent="0.25">
      <c r="A1471" s="18">
        <v>1984</v>
      </c>
      <c r="B1471" s="18" t="s">
        <v>108</v>
      </c>
      <c r="C1471" s="18">
        <v>0</v>
      </c>
      <c r="D1471" s="18">
        <v>0</v>
      </c>
      <c r="E1471" s="18">
        <v>0</v>
      </c>
    </row>
    <row r="1472" spans="1:5" x14ac:dyDescent="0.25">
      <c r="A1472" s="18">
        <v>1985</v>
      </c>
      <c r="B1472" s="18" t="s">
        <v>108</v>
      </c>
      <c r="C1472" s="18">
        <v>943</v>
      </c>
      <c r="D1472" s="18">
        <v>958</v>
      </c>
      <c r="E1472" s="18">
        <v>1899</v>
      </c>
    </row>
    <row r="1473" spans="1:5" x14ac:dyDescent="0.25">
      <c r="A1473" s="18">
        <v>1986</v>
      </c>
      <c r="B1473" s="18" t="s">
        <v>108</v>
      </c>
      <c r="C1473" s="18">
        <v>0</v>
      </c>
      <c r="D1473" s="18">
        <v>0</v>
      </c>
      <c r="E1473" s="18">
        <v>0</v>
      </c>
    </row>
    <row r="1474" spans="1:5" x14ac:dyDescent="0.25">
      <c r="A1474" s="18">
        <v>1987</v>
      </c>
      <c r="B1474" s="18" t="s">
        <v>108</v>
      </c>
      <c r="C1474" s="18">
        <v>0</v>
      </c>
      <c r="D1474" s="18">
        <v>0</v>
      </c>
      <c r="E1474" s="18">
        <v>0</v>
      </c>
    </row>
    <row r="1475" spans="1:5" x14ac:dyDescent="0.25">
      <c r="A1475" s="18">
        <v>1988</v>
      </c>
      <c r="B1475" s="18" t="s">
        <v>108</v>
      </c>
      <c r="C1475" s="18">
        <v>0</v>
      </c>
      <c r="D1475" s="18">
        <v>0</v>
      </c>
      <c r="E1475" s="18">
        <v>0</v>
      </c>
    </row>
    <row r="1476" spans="1:5" x14ac:dyDescent="0.25">
      <c r="A1476" s="18">
        <v>1989</v>
      </c>
      <c r="B1476" s="18" t="s">
        <v>108</v>
      </c>
      <c r="C1476" s="18">
        <v>0</v>
      </c>
      <c r="D1476" s="18">
        <v>0</v>
      </c>
      <c r="E1476" s="18">
        <v>0</v>
      </c>
    </row>
    <row r="1477" spans="1:5" x14ac:dyDescent="0.25">
      <c r="A1477" s="18">
        <v>1990</v>
      </c>
      <c r="B1477" s="18" t="s">
        <v>108</v>
      </c>
      <c r="C1477" s="18">
        <v>1183</v>
      </c>
      <c r="D1477" s="18">
        <v>1333</v>
      </c>
      <c r="E1477" s="18">
        <v>2516</v>
      </c>
    </row>
    <row r="1478" spans="1:5" x14ac:dyDescent="0.25">
      <c r="A1478" s="18">
        <v>1991</v>
      </c>
      <c r="B1478" s="18" t="s">
        <v>108</v>
      </c>
      <c r="C1478" s="18">
        <v>0</v>
      </c>
      <c r="D1478" s="18">
        <v>0</v>
      </c>
      <c r="E1478" s="18">
        <v>0</v>
      </c>
    </row>
    <row r="1479" spans="1:5" x14ac:dyDescent="0.25">
      <c r="A1479" s="18">
        <v>1992</v>
      </c>
      <c r="B1479" s="18" t="s">
        <v>108</v>
      </c>
      <c r="C1479" s="18">
        <v>0</v>
      </c>
      <c r="D1479" s="18">
        <v>0</v>
      </c>
      <c r="E1479" s="18">
        <v>0</v>
      </c>
    </row>
    <row r="1480" spans="1:5" x14ac:dyDescent="0.25">
      <c r="A1480" s="18">
        <v>1993</v>
      </c>
      <c r="B1480" s="18" t="s">
        <v>108</v>
      </c>
      <c r="C1480" s="18">
        <v>0</v>
      </c>
      <c r="D1480" s="18">
        <v>0</v>
      </c>
      <c r="E1480" s="18">
        <v>0</v>
      </c>
    </row>
    <row r="1481" spans="1:5" x14ac:dyDescent="0.25">
      <c r="A1481" s="18">
        <v>1994</v>
      </c>
      <c r="B1481" s="18" t="s">
        <v>108</v>
      </c>
      <c r="C1481" s="18">
        <v>0</v>
      </c>
      <c r="D1481" s="18">
        <v>0</v>
      </c>
      <c r="E1481" s="18">
        <v>0</v>
      </c>
    </row>
    <row r="1482" spans="1:5" x14ac:dyDescent="0.25">
      <c r="A1482" s="18">
        <v>1995</v>
      </c>
      <c r="B1482" s="18" t="s">
        <v>108</v>
      </c>
      <c r="C1482" s="18">
        <v>0</v>
      </c>
      <c r="D1482" s="18">
        <v>0</v>
      </c>
      <c r="E1482" s="18">
        <v>0</v>
      </c>
    </row>
    <row r="1483" spans="1:5" x14ac:dyDescent="0.25">
      <c r="A1483" s="18">
        <v>1996</v>
      </c>
      <c r="B1483" s="18" t="s">
        <v>108</v>
      </c>
      <c r="C1483" s="18">
        <v>0</v>
      </c>
      <c r="D1483" s="18">
        <v>0</v>
      </c>
      <c r="E1483" s="18">
        <v>0</v>
      </c>
    </row>
    <row r="1484" spans="1:5" x14ac:dyDescent="0.25">
      <c r="A1484" s="18">
        <v>1997</v>
      </c>
      <c r="B1484" s="18" t="s">
        <v>108</v>
      </c>
      <c r="C1484" s="18">
        <v>0</v>
      </c>
      <c r="D1484" s="18">
        <v>0</v>
      </c>
      <c r="E1484" s="18">
        <v>0</v>
      </c>
    </row>
    <row r="1485" spans="1:5" x14ac:dyDescent="0.25">
      <c r="A1485" s="18">
        <v>1998</v>
      </c>
      <c r="B1485" s="18" t="s">
        <v>108</v>
      </c>
      <c r="C1485" s="18">
        <v>0</v>
      </c>
      <c r="D1485" s="18">
        <v>0</v>
      </c>
      <c r="E1485" s="18">
        <v>0</v>
      </c>
    </row>
    <row r="1486" spans="1:5" x14ac:dyDescent="0.25">
      <c r="A1486" s="18">
        <v>1999</v>
      </c>
      <c r="B1486" s="18" t="s">
        <v>108</v>
      </c>
      <c r="C1486" s="18">
        <v>0</v>
      </c>
      <c r="D1486" s="18">
        <v>0</v>
      </c>
      <c r="E1486" s="18">
        <v>0</v>
      </c>
    </row>
    <row r="1487" spans="1:5" x14ac:dyDescent="0.25">
      <c r="A1487" s="18">
        <v>2000</v>
      </c>
      <c r="B1487" s="18" t="s">
        <v>108</v>
      </c>
      <c r="C1487" s="18">
        <v>1253</v>
      </c>
      <c r="D1487" s="18">
        <v>1253</v>
      </c>
      <c r="E1487" s="18">
        <v>2507</v>
      </c>
    </row>
    <row r="1488" spans="1:5" x14ac:dyDescent="0.25">
      <c r="A1488" s="18">
        <v>2001</v>
      </c>
      <c r="B1488" s="18" t="s">
        <v>108</v>
      </c>
      <c r="C1488" s="18">
        <v>0</v>
      </c>
      <c r="D1488" s="18">
        <v>0</v>
      </c>
      <c r="E1488" s="18">
        <v>0</v>
      </c>
    </row>
    <row r="1489" spans="1:5" x14ac:dyDescent="0.25">
      <c r="A1489" s="18">
        <v>2002</v>
      </c>
      <c r="B1489" s="18" t="s">
        <v>108</v>
      </c>
      <c r="C1489" s="18">
        <v>0</v>
      </c>
      <c r="D1489" s="18">
        <v>0</v>
      </c>
      <c r="E1489" s="18">
        <v>0</v>
      </c>
    </row>
    <row r="1490" spans="1:5" x14ac:dyDescent="0.25">
      <c r="A1490" s="18">
        <v>2003</v>
      </c>
      <c r="B1490" s="18" t="s">
        <v>108</v>
      </c>
      <c r="C1490" s="18">
        <v>0</v>
      </c>
      <c r="D1490" s="18">
        <v>0</v>
      </c>
      <c r="E1490" s="18">
        <v>0</v>
      </c>
    </row>
    <row r="1491" spans="1:5" x14ac:dyDescent="0.25">
      <c r="A1491" s="18">
        <v>2004</v>
      </c>
      <c r="B1491" s="18" t="s">
        <v>108</v>
      </c>
      <c r="C1491" s="18">
        <v>0</v>
      </c>
      <c r="D1491" s="18">
        <v>0</v>
      </c>
      <c r="E1491" s="18">
        <v>0</v>
      </c>
    </row>
    <row r="1492" spans="1:5" x14ac:dyDescent="0.25">
      <c r="A1492" s="18">
        <v>2005</v>
      </c>
      <c r="B1492" s="18" t="s">
        <v>108</v>
      </c>
      <c r="C1492" s="18">
        <v>0</v>
      </c>
      <c r="D1492" s="18">
        <v>0</v>
      </c>
      <c r="E1492" s="18">
        <v>0</v>
      </c>
    </row>
    <row r="1493" spans="1:5" x14ac:dyDescent="0.25">
      <c r="A1493" s="18">
        <v>2006</v>
      </c>
      <c r="B1493" s="18" t="s">
        <v>108</v>
      </c>
      <c r="C1493" s="18">
        <v>0</v>
      </c>
      <c r="D1493" s="18">
        <v>0</v>
      </c>
      <c r="E1493" s="18">
        <v>0</v>
      </c>
    </row>
    <row r="1494" spans="1:5" x14ac:dyDescent="0.25">
      <c r="A1494" s="18">
        <v>2007</v>
      </c>
      <c r="B1494" s="18" t="s">
        <v>108</v>
      </c>
      <c r="C1494" s="18">
        <v>0</v>
      </c>
      <c r="D1494" s="18">
        <v>0</v>
      </c>
      <c r="E1494" s="18">
        <v>0</v>
      </c>
    </row>
    <row r="1495" spans="1:5" x14ac:dyDescent="0.25">
      <c r="A1495" s="18">
        <v>2008</v>
      </c>
      <c r="B1495" s="18" t="s">
        <v>108</v>
      </c>
      <c r="C1495" s="18">
        <v>0</v>
      </c>
      <c r="D1495" s="18">
        <v>0</v>
      </c>
      <c r="E1495" s="18">
        <v>0</v>
      </c>
    </row>
    <row r="1496" spans="1:5" x14ac:dyDescent="0.25">
      <c r="A1496" s="18">
        <v>1950</v>
      </c>
      <c r="B1496" s="18" t="s">
        <v>3</v>
      </c>
      <c r="C1496" s="18">
        <v>0</v>
      </c>
      <c r="D1496" s="18">
        <v>0</v>
      </c>
      <c r="E1496" s="18">
        <v>0</v>
      </c>
    </row>
    <row r="1497" spans="1:5" x14ac:dyDescent="0.25">
      <c r="A1497" s="18">
        <v>1951</v>
      </c>
      <c r="B1497" s="18" t="s">
        <v>3</v>
      </c>
      <c r="C1497" s="18">
        <v>0</v>
      </c>
      <c r="D1497" s="18">
        <v>0</v>
      </c>
      <c r="E1497" s="18">
        <v>0</v>
      </c>
    </row>
    <row r="1498" spans="1:5" x14ac:dyDescent="0.25">
      <c r="A1498" s="18">
        <v>1952</v>
      </c>
      <c r="B1498" s="18" t="s">
        <v>3</v>
      </c>
      <c r="C1498" s="18">
        <v>0</v>
      </c>
      <c r="D1498" s="18">
        <v>0</v>
      </c>
      <c r="E1498" s="18">
        <v>0</v>
      </c>
    </row>
    <row r="1499" spans="1:5" x14ac:dyDescent="0.25">
      <c r="A1499" s="18">
        <v>1953</v>
      </c>
      <c r="B1499" s="18" t="s">
        <v>3</v>
      </c>
      <c r="C1499" s="18">
        <v>0</v>
      </c>
      <c r="D1499" s="18">
        <v>0</v>
      </c>
      <c r="E1499" s="18">
        <v>0</v>
      </c>
    </row>
    <row r="1500" spans="1:5" x14ac:dyDescent="0.25">
      <c r="A1500" s="18">
        <v>1954</v>
      </c>
      <c r="B1500" s="18" t="s">
        <v>3</v>
      </c>
      <c r="C1500" s="18">
        <v>0</v>
      </c>
      <c r="D1500" s="18">
        <v>0</v>
      </c>
      <c r="E1500" s="18">
        <v>0</v>
      </c>
    </row>
    <row r="1501" spans="1:5" x14ac:dyDescent="0.25">
      <c r="A1501" s="18">
        <v>1955</v>
      </c>
      <c r="B1501" s="18" t="s">
        <v>3</v>
      </c>
      <c r="C1501" s="18">
        <v>0</v>
      </c>
      <c r="D1501" s="18">
        <v>0</v>
      </c>
      <c r="E1501" s="18">
        <v>0</v>
      </c>
    </row>
    <row r="1502" spans="1:5" x14ac:dyDescent="0.25">
      <c r="A1502" s="18">
        <v>1956</v>
      </c>
      <c r="B1502" s="18" t="s">
        <v>3</v>
      </c>
      <c r="C1502" s="18">
        <v>0</v>
      </c>
      <c r="D1502" s="18">
        <v>0</v>
      </c>
      <c r="E1502" s="18">
        <v>0</v>
      </c>
    </row>
    <row r="1503" spans="1:5" x14ac:dyDescent="0.25">
      <c r="A1503" s="18">
        <v>1957</v>
      </c>
      <c r="B1503" s="18" t="s">
        <v>3</v>
      </c>
      <c r="C1503" s="18">
        <v>0</v>
      </c>
      <c r="D1503" s="18">
        <v>0</v>
      </c>
      <c r="E1503" s="18">
        <v>0</v>
      </c>
    </row>
    <row r="1504" spans="1:5" x14ac:dyDescent="0.25">
      <c r="A1504" s="18">
        <v>1958</v>
      </c>
      <c r="B1504" s="18" t="s">
        <v>3</v>
      </c>
      <c r="C1504" s="18">
        <v>0</v>
      </c>
      <c r="D1504" s="18">
        <v>0</v>
      </c>
      <c r="E1504" s="18">
        <v>0</v>
      </c>
    </row>
    <row r="1505" spans="1:5" x14ac:dyDescent="0.25">
      <c r="A1505" s="18">
        <v>1959</v>
      </c>
      <c r="B1505" s="18" t="s">
        <v>3</v>
      </c>
      <c r="C1505" s="18">
        <v>0</v>
      </c>
      <c r="D1505" s="18">
        <v>0</v>
      </c>
      <c r="E1505" s="18">
        <v>0</v>
      </c>
    </row>
    <row r="1506" spans="1:5" x14ac:dyDescent="0.25">
      <c r="A1506" s="18">
        <v>1960</v>
      </c>
      <c r="B1506" s="18" t="s">
        <v>3</v>
      </c>
      <c r="C1506" s="18">
        <v>0</v>
      </c>
      <c r="D1506" s="18">
        <v>0</v>
      </c>
      <c r="E1506" s="18">
        <v>0</v>
      </c>
    </row>
    <row r="1507" spans="1:5" x14ac:dyDescent="0.25">
      <c r="A1507" s="18">
        <v>1961</v>
      </c>
      <c r="B1507" s="18" t="s">
        <v>3</v>
      </c>
      <c r="C1507" s="18">
        <v>0</v>
      </c>
      <c r="D1507" s="18">
        <v>0</v>
      </c>
      <c r="E1507" s="18">
        <v>0</v>
      </c>
    </row>
    <row r="1508" spans="1:5" x14ac:dyDescent="0.25">
      <c r="A1508" s="18">
        <v>1962</v>
      </c>
      <c r="B1508" s="18" t="s">
        <v>3</v>
      </c>
      <c r="C1508" s="18">
        <v>0</v>
      </c>
      <c r="D1508" s="18">
        <v>0</v>
      </c>
      <c r="E1508" s="18">
        <v>0</v>
      </c>
    </row>
    <row r="1509" spans="1:5" x14ac:dyDescent="0.25">
      <c r="A1509" s="18">
        <v>1963</v>
      </c>
      <c r="B1509" s="18" t="s">
        <v>3</v>
      </c>
      <c r="C1509" s="18">
        <v>0</v>
      </c>
      <c r="D1509" s="18">
        <v>0</v>
      </c>
      <c r="E1509" s="18">
        <v>0</v>
      </c>
    </row>
    <row r="1510" spans="1:5" x14ac:dyDescent="0.25">
      <c r="A1510" s="18">
        <v>1964</v>
      </c>
      <c r="B1510" s="18" t="s">
        <v>3</v>
      </c>
      <c r="C1510" s="18">
        <v>0</v>
      </c>
      <c r="D1510" s="18">
        <v>0</v>
      </c>
      <c r="E1510" s="18">
        <v>0</v>
      </c>
    </row>
    <row r="1511" spans="1:5" x14ac:dyDescent="0.25">
      <c r="A1511" s="18">
        <v>1965</v>
      </c>
      <c r="B1511" s="18" t="s">
        <v>3</v>
      </c>
      <c r="C1511" s="18">
        <v>0</v>
      </c>
      <c r="D1511" s="18">
        <v>0</v>
      </c>
      <c r="E1511" s="18">
        <v>0</v>
      </c>
    </row>
    <row r="1512" spans="1:5" x14ac:dyDescent="0.25">
      <c r="A1512" s="18">
        <v>1966</v>
      </c>
      <c r="B1512" s="18" t="s">
        <v>3</v>
      </c>
      <c r="C1512" s="18">
        <v>0</v>
      </c>
      <c r="D1512" s="18">
        <v>0</v>
      </c>
      <c r="E1512" s="18">
        <v>0</v>
      </c>
    </row>
    <row r="1513" spans="1:5" x14ac:dyDescent="0.25">
      <c r="A1513" s="18">
        <v>1967</v>
      </c>
      <c r="B1513" s="18" t="s">
        <v>3</v>
      </c>
      <c r="C1513" s="18">
        <v>0</v>
      </c>
      <c r="D1513" s="18">
        <v>0</v>
      </c>
      <c r="E1513" s="18">
        <v>0</v>
      </c>
    </row>
    <row r="1514" spans="1:5" x14ac:dyDescent="0.25">
      <c r="A1514" s="18">
        <v>1968</v>
      </c>
      <c r="B1514" s="18" t="s">
        <v>3</v>
      </c>
      <c r="C1514" s="18">
        <v>0</v>
      </c>
      <c r="D1514" s="18">
        <v>0</v>
      </c>
      <c r="E1514" s="18">
        <v>0</v>
      </c>
    </row>
    <row r="1515" spans="1:5" x14ac:dyDescent="0.25">
      <c r="A1515" s="18">
        <v>1969</v>
      </c>
      <c r="B1515" s="18" t="s">
        <v>3</v>
      </c>
      <c r="C1515" s="18">
        <v>0</v>
      </c>
      <c r="D1515" s="18">
        <v>0</v>
      </c>
      <c r="E1515" s="18">
        <v>0</v>
      </c>
    </row>
    <row r="1516" spans="1:5" x14ac:dyDescent="0.25">
      <c r="A1516" s="18">
        <v>1970</v>
      </c>
      <c r="B1516" s="18" t="s">
        <v>3</v>
      </c>
      <c r="C1516" s="18">
        <v>0</v>
      </c>
      <c r="D1516" s="18">
        <v>0</v>
      </c>
      <c r="E1516" s="18">
        <v>0</v>
      </c>
    </row>
    <row r="1517" spans="1:5" x14ac:dyDescent="0.25">
      <c r="A1517" s="18">
        <v>1971</v>
      </c>
      <c r="B1517" s="18" t="s">
        <v>3</v>
      </c>
      <c r="C1517" s="18">
        <v>0</v>
      </c>
      <c r="D1517" s="18">
        <v>0</v>
      </c>
      <c r="E1517" s="18">
        <v>0</v>
      </c>
    </row>
    <row r="1518" spans="1:5" x14ac:dyDescent="0.25">
      <c r="A1518" s="18">
        <v>1972</v>
      </c>
      <c r="B1518" s="18" t="s">
        <v>3</v>
      </c>
      <c r="C1518" s="18">
        <v>0</v>
      </c>
      <c r="D1518" s="18">
        <v>0</v>
      </c>
      <c r="E1518" s="18">
        <v>0</v>
      </c>
    </row>
    <row r="1519" spans="1:5" x14ac:dyDescent="0.25">
      <c r="A1519" s="18">
        <v>1973</v>
      </c>
      <c r="B1519" s="18" t="s">
        <v>3</v>
      </c>
      <c r="C1519" s="18">
        <v>0</v>
      </c>
      <c r="D1519" s="18">
        <v>0</v>
      </c>
      <c r="E1519" s="18">
        <v>0</v>
      </c>
    </row>
    <row r="1520" spans="1:5" x14ac:dyDescent="0.25">
      <c r="A1520" s="18">
        <v>1974</v>
      </c>
      <c r="B1520" s="18" t="s">
        <v>3</v>
      </c>
      <c r="C1520" s="18">
        <v>0</v>
      </c>
      <c r="D1520" s="18">
        <v>0</v>
      </c>
      <c r="E1520" s="18">
        <v>0</v>
      </c>
    </row>
    <row r="1521" spans="1:5" x14ac:dyDescent="0.25">
      <c r="A1521" s="18">
        <v>1975</v>
      </c>
      <c r="B1521" s="18" t="s">
        <v>3</v>
      </c>
      <c r="C1521" s="18">
        <v>842</v>
      </c>
      <c r="D1521" s="18">
        <v>1004</v>
      </c>
      <c r="E1521" s="18">
        <v>1846</v>
      </c>
    </row>
    <row r="1522" spans="1:5" x14ac:dyDescent="0.25">
      <c r="A1522" s="18">
        <v>1976</v>
      </c>
      <c r="B1522" s="18" t="s">
        <v>3</v>
      </c>
      <c r="C1522" s="18">
        <v>0</v>
      </c>
      <c r="D1522" s="18">
        <v>0</v>
      </c>
      <c r="E1522" s="18">
        <v>0</v>
      </c>
    </row>
    <row r="1523" spans="1:5" x14ac:dyDescent="0.25">
      <c r="A1523" s="18">
        <v>1977</v>
      </c>
      <c r="B1523" s="18" t="s">
        <v>3</v>
      </c>
      <c r="C1523" s="18">
        <v>0</v>
      </c>
      <c r="D1523" s="18">
        <v>0</v>
      </c>
      <c r="E1523" s="18">
        <v>0</v>
      </c>
    </row>
    <row r="1524" spans="1:5" x14ac:dyDescent="0.25">
      <c r="A1524" s="18">
        <v>1978</v>
      </c>
      <c r="B1524" s="18" t="s">
        <v>3</v>
      </c>
      <c r="C1524" s="18">
        <v>0</v>
      </c>
      <c r="D1524" s="18">
        <v>0</v>
      </c>
      <c r="E1524" s="18">
        <v>0</v>
      </c>
    </row>
    <row r="1525" spans="1:5" x14ac:dyDescent="0.25">
      <c r="A1525" s="18">
        <v>1979</v>
      </c>
      <c r="B1525" s="18" t="s">
        <v>3</v>
      </c>
      <c r="C1525" s="18">
        <v>0</v>
      </c>
      <c r="D1525" s="18">
        <v>0</v>
      </c>
      <c r="E1525" s="18">
        <v>0</v>
      </c>
    </row>
    <row r="1526" spans="1:5" x14ac:dyDescent="0.25">
      <c r="A1526" s="18">
        <v>1980</v>
      </c>
      <c r="B1526" s="18" t="s">
        <v>3</v>
      </c>
      <c r="C1526" s="18">
        <v>1011</v>
      </c>
      <c r="D1526" s="18">
        <v>1114</v>
      </c>
      <c r="E1526" s="18">
        <v>2125</v>
      </c>
    </row>
    <row r="1527" spans="1:5" x14ac:dyDescent="0.25">
      <c r="A1527" s="18">
        <v>1981</v>
      </c>
      <c r="B1527" s="18" t="s">
        <v>3</v>
      </c>
      <c r="C1527" s="18">
        <v>0</v>
      </c>
      <c r="D1527" s="18">
        <v>0</v>
      </c>
      <c r="E1527" s="18">
        <v>0</v>
      </c>
    </row>
    <row r="1528" spans="1:5" x14ac:dyDescent="0.25">
      <c r="A1528" s="18">
        <v>1982</v>
      </c>
      <c r="B1528" s="18" t="s">
        <v>3</v>
      </c>
      <c r="C1528" s="18">
        <v>0</v>
      </c>
      <c r="D1528" s="18">
        <v>0</v>
      </c>
      <c r="E1528" s="18">
        <v>0</v>
      </c>
    </row>
    <row r="1529" spans="1:5" x14ac:dyDescent="0.25">
      <c r="A1529" s="18">
        <v>1983</v>
      </c>
      <c r="B1529" s="18" t="s">
        <v>3</v>
      </c>
      <c r="C1529" s="18">
        <v>0</v>
      </c>
      <c r="D1529" s="18">
        <v>0</v>
      </c>
      <c r="E1529" s="18">
        <v>0</v>
      </c>
    </row>
    <row r="1530" spans="1:5" x14ac:dyDescent="0.25">
      <c r="A1530" s="18">
        <v>1984</v>
      </c>
      <c r="B1530" s="18" t="s">
        <v>3</v>
      </c>
      <c r="C1530" s="18">
        <v>0</v>
      </c>
      <c r="D1530" s="18">
        <v>0</v>
      </c>
      <c r="E1530" s="18">
        <v>0</v>
      </c>
    </row>
    <row r="1531" spans="1:5" x14ac:dyDescent="0.25">
      <c r="A1531" s="18">
        <v>1985</v>
      </c>
      <c r="B1531" s="18" t="s">
        <v>3</v>
      </c>
      <c r="C1531" s="18">
        <v>959</v>
      </c>
      <c r="D1531" s="18">
        <v>1053</v>
      </c>
      <c r="E1531" s="18">
        <v>2012</v>
      </c>
    </row>
    <row r="1532" spans="1:5" x14ac:dyDescent="0.25">
      <c r="A1532" s="18">
        <v>1986</v>
      </c>
      <c r="B1532" s="18" t="s">
        <v>3</v>
      </c>
      <c r="C1532" s="18">
        <v>0</v>
      </c>
      <c r="D1532" s="18">
        <v>0</v>
      </c>
      <c r="E1532" s="18">
        <v>0</v>
      </c>
    </row>
    <row r="1533" spans="1:5" x14ac:dyDescent="0.25">
      <c r="A1533" s="18">
        <v>1987</v>
      </c>
      <c r="B1533" s="18" t="s">
        <v>3</v>
      </c>
      <c r="C1533" s="18">
        <v>0</v>
      </c>
      <c r="D1533" s="18">
        <v>0</v>
      </c>
      <c r="E1533" s="18">
        <v>0</v>
      </c>
    </row>
    <row r="1534" spans="1:5" x14ac:dyDescent="0.25">
      <c r="A1534" s="18">
        <v>1988</v>
      </c>
      <c r="B1534" s="18" t="s">
        <v>3</v>
      </c>
      <c r="C1534" s="18">
        <v>0</v>
      </c>
      <c r="D1534" s="18">
        <v>0</v>
      </c>
      <c r="E1534" s="18">
        <v>0</v>
      </c>
    </row>
    <row r="1535" spans="1:5" x14ac:dyDescent="0.25">
      <c r="A1535" s="18">
        <v>1989</v>
      </c>
      <c r="B1535" s="18" t="s">
        <v>3</v>
      </c>
      <c r="C1535" s="18">
        <v>0</v>
      </c>
      <c r="D1535" s="18">
        <v>0</v>
      </c>
      <c r="E1535" s="18">
        <v>0</v>
      </c>
    </row>
    <row r="1536" spans="1:5" x14ac:dyDescent="0.25">
      <c r="A1536" s="18">
        <v>1990</v>
      </c>
      <c r="B1536" s="18" t="s">
        <v>3</v>
      </c>
      <c r="C1536" s="18">
        <v>1139</v>
      </c>
      <c r="D1536" s="18">
        <v>1139</v>
      </c>
      <c r="E1536" s="18">
        <v>2279</v>
      </c>
    </row>
    <row r="1537" spans="1:5" x14ac:dyDescent="0.25">
      <c r="A1537" s="18">
        <v>1991</v>
      </c>
      <c r="B1537" s="18" t="s">
        <v>3</v>
      </c>
      <c r="C1537" s="18">
        <v>0</v>
      </c>
      <c r="D1537" s="18">
        <v>0</v>
      </c>
      <c r="E1537" s="18">
        <v>0</v>
      </c>
    </row>
    <row r="1538" spans="1:5" x14ac:dyDescent="0.25">
      <c r="A1538" s="18">
        <v>1992</v>
      </c>
      <c r="B1538" s="18" t="s">
        <v>3</v>
      </c>
      <c r="C1538" s="18">
        <v>0</v>
      </c>
      <c r="D1538" s="18">
        <v>0</v>
      </c>
      <c r="E1538" s="18">
        <v>0</v>
      </c>
    </row>
    <row r="1539" spans="1:5" x14ac:dyDescent="0.25">
      <c r="A1539" s="18">
        <v>1993</v>
      </c>
      <c r="B1539" s="18" t="s">
        <v>3</v>
      </c>
      <c r="C1539" s="18">
        <v>0</v>
      </c>
      <c r="D1539" s="18">
        <v>0</v>
      </c>
      <c r="E1539" s="18">
        <v>0</v>
      </c>
    </row>
    <row r="1540" spans="1:5" x14ac:dyDescent="0.25">
      <c r="A1540" s="18">
        <v>1994</v>
      </c>
      <c r="B1540" s="18" t="s">
        <v>3</v>
      </c>
      <c r="C1540" s="18">
        <v>0</v>
      </c>
      <c r="D1540" s="18">
        <v>0</v>
      </c>
      <c r="E1540" s="18">
        <v>0</v>
      </c>
    </row>
    <row r="1541" spans="1:5" x14ac:dyDescent="0.25">
      <c r="A1541" s="18">
        <v>1995</v>
      </c>
      <c r="B1541" s="18" t="s">
        <v>3</v>
      </c>
      <c r="C1541" s="18">
        <v>0</v>
      </c>
      <c r="D1541" s="18">
        <v>0</v>
      </c>
      <c r="E1541" s="18">
        <v>0</v>
      </c>
    </row>
    <row r="1542" spans="1:5" x14ac:dyDescent="0.25">
      <c r="A1542" s="18">
        <v>1996</v>
      </c>
      <c r="B1542" s="18" t="s">
        <v>3</v>
      </c>
      <c r="C1542" s="18">
        <v>0</v>
      </c>
      <c r="D1542" s="18">
        <v>0</v>
      </c>
      <c r="E1542" s="18">
        <v>0</v>
      </c>
    </row>
    <row r="1543" spans="1:5" x14ac:dyDescent="0.25">
      <c r="A1543" s="18">
        <v>1997</v>
      </c>
      <c r="B1543" s="18" t="s">
        <v>3</v>
      </c>
      <c r="C1543" s="18">
        <v>0</v>
      </c>
      <c r="D1543" s="18">
        <v>0</v>
      </c>
      <c r="E1543" s="18">
        <v>0</v>
      </c>
    </row>
    <row r="1544" spans="1:5" x14ac:dyDescent="0.25">
      <c r="A1544" s="18">
        <v>1998</v>
      </c>
      <c r="B1544" s="18" t="s">
        <v>3</v>
      </c>
      <c r="C1544" s="18">
        <v>0</v>
      </c>
      <c r="D1544" s="18">
        <v>0</v>
      </c>
      <c r="E1544" s="18">
        <v>0</v>
      </c>
    </row>
    <row r="1545" spans="1:5" x14ac:dyDescent="0.25">
      <c r="A1545" s="18">
        <v>1999</v>
      </c>
      <c r="B1545" s="18" t="s">
        <v>3</v>
      </c>
      <c r="C1545" s="18">
        <v>0</v>
      </c>
      <c r="D1545" s="18">
        <v>0</v>
      </c>
      <c r="E1545" s="18">
        <v>0</v>
      </c>
    </row>
    <row r="1546" spans="1:5" x14ac:dyDescent="0.25">
      <c r="A1546" s="18">
        <v>2000</v>
      </c>
      <c r="B1546" s="18" t="s">
        <v>3</v>
      </c>
      <c r="C1546" s="18">
        <v>1223</v>
      </c>
      <c r="D1546" s="18">
        <v>1320</v>
      </c>
      <c r="E1546" s="18">
        <v>2543</v>
      </c>
    </row>
    <row r="1547" spans="1:5" x14ac:dyDescent="0.25">
      <c r="A1547" s="18">
        <v>2001</v>
      </c>
      <c r="B1547" s="18" t="s">
        <v>3</v>
      </c>
      <c r="C1547" s="18">
        <v>0</v>
      </c>
      <c r="D1547" s="18">
        <v>0</v>
      </c>
      <c r="E1547" s="18">
        <v>0</v>
      </c>
    </row>
    <row r="1548" spans="1:5" x14ac:dyDescent="0.25">
      <c r="A1548" s="18">
        <v>2002</v>
      </c>
      <c r="B1548" s="18" t="s">
        <v>3</v>
      </c>
      <c r="C1548" s="18">
        <v>0</v>
      </c>
      <c r="D1548" s="18">
        <v>0</v>
      </c>
      <c r="E1548" s="18">
        <v>0</v>
      </c>
    </row>
    <row r="1549" spans="1:5" x14ac:dyDescent="0.25">
      <c r="A1549" s="18">
        <v>2003</v>
      </c>
      <c r="B1549" s="18" t="s">
        <v>3</v>
      </c>
      <c r="C1549" s="18">
        <v>0</v>
      </c>
      <c r="D1549" s="18">
        <v>0</v>
      </c>
      <c r="E1549" s="18">
        <v>0</v>
      </c>
    </row>
    <row r="1550" spans="1:5" x14ac:dyDescent="0.25">
      <c r="A1550" s="18">
        <v>2004</v>
      </c>
      <c r="B1550" s="18" t="s">
        <v>3</v>
      </c>
      <c r="C1550" s="18">
        <v>0</v>
      </c>
      <c r="D1550" s="18">
        <v>0</v>
      </c>
      <c r="E1550" s="18">
        <v>0</v>
      </c>
    </row>
    <row r="1551" spans="1:5" x14ac:dyDescent="0.25">
      <c r="A1551" s="18">
        <v>2005</v>
      </c>
      <c r="B1551" s="18" t="s">
        <v>3</v>
      </c>
      <c r="C1551" s="18">
        <v>0</v>
      </c>
      <c r="D1551" s="18">
        <v>0</v>
      </c>
      <c r="E1551" s="18">
        <v>0</v>
      </c>
    </row>
    <row r="1552" spans="1:5" x14ac:dyDescent="0.25">
      <c r="A1552" s="18">
        <v>2006</v>
      </c>
      <c r="B1552" s="18" t="s">
        <v>3</v>
      </c>
      <c r="C1552" s="18">
        <v>0</v>
      </c>
      <c r="D1552" s="18">
        <v>0</v>
      </c>
      <c r="E1552" s="18">
        <v>0</v>
      </c>
    </row>
    <row r="1553" spans="1:5" x14ac:dyDescent="0.25">
      <c r="A1553" s="18">
        <v>2007</v>
      </c>
      <c r="B1553" s="18" t="s">
        <v>3</v>
      </c>
      <c r="C1553" s="18">
        <v>0</v>
      </c>
      <c r="D1553" s="18">
        <v>0</v>
      </c>
      <c r="E1553" s="18">
        <v>0</v>
      </c>
    </row>
    <row r="1554" spans="1:5" x14ac:dyDescent="0.25">
      <c r="A1554" s="18">
        <v>2008</v>
      </c>
      <c r="B1554" s="18" t="s">
        <v>3</v>
      </c>
      <c r="C1554" s="18">
        <v>0</v>
      </c>
      <c r="D1554" s="18">
        <v>0</v>
      </c>
      <c r="E1554" s="18">
        <v>0</v>
      </c>
    </row>
    <row r="1555" spans="1:5" x14ac:dyDescent="0.25">
      <c r="A1555" s="18">
        <v>1950</v>
      </c>
      <c r="B1555" s="18" t="s">
        <v>38</v>
      </c>
      <c r="C1555" s="18">
        <v>0</v>
      </c>
      <c r="D1555" s="18">
        <v>0</v>
      </c>
      <c r="E1555" s="18">
        <v>0</v>
      </c>
    </row>
    <row r="1556" spans="1:5" x14ac:dyDescent="0.25">
      <c r="A1556" s="18">
        <v>1951</v>
      </c>
      <c r="B1556" s="18" t="s">
        <v>38</v>
      </c>
      <c r="C1556" s="18">
        <v>0</v>
      </c>
      <c r="D1556" s="18">
        <v>0</v>
      </c>
      <c r="E1556" s="18">
        <v>0</v>
      </c>
    </row>
    <row r="1557" spans="1:5" x14ac:dyDescent="0.25">
      <c r="A1557" s="18">
        <v>1952</v>
      </c>
      <c r="B1557" s="18" t="s">
        <v>38</v>
      </c>
      <c r="C1557" s="18">
        <v>0</v>
      </c>
      <c r="D1557" s="18">
        <v>0</v>
      </c>
      <c r="E1557" s="18">
        <v>0</v>
      </c>
    </row>
    <row r="1558" spans="1:5" x14ac:dyDescent="0.25">
      <c r="A1558" s="18">
        <v>1953</v>
      </c>
      <c r="B1558" s="18" t="s">
        <v>38</v>
      </c>
      <c r="C1558" s="18">
        <v>0</v>
      </c>
      <c r="D1558" s="18">
        <v>0</v>
      </c>
      <c r="E1558" s="18">
        <v>0</v>
      </c>
    </row>
    <row r="1559" spans="1:5" x14ac:dyDescent="0.25">
      <c r="A1559" s="18">
        <v>1954</v>
      </c>
      <c r="B1559" s="18" t="s">
        <v>38</v>
      </c>
      <c r="C1559" s="18">
        <v>0</v>
      </c>
      <c r="D1559" s="18">
        <v>0</v>
      </c>
      <c r="E1559" s="18">
        <v>0</v>
      </c>
    </row>
    <row r="1560" spans="1:5" x14ac:dyDescent="0.25">
      <c r="A1560" s="18">
        <v>1955</v>
      </c>
      <c r="B1560" s="18" t="s">
        <v>38</v>
      </c>
      <c r="C1560" s="18">
        <v>0</v>
      </c>
      <c r="D1560" s="18">
        <v>0</v>
      </c>
      <c r="E1560" s="18">
        <v>0</v>
      </c>
    </row>
    <row r="1561" spans="1:5" x14ac:dyDescent="0.25">
      <c r="A1561" s="18">
        <v>1956</v>
      </c>
      <c r="B1561" s="18" t="s">
        <v>38</v>
      </c>
      <c r="C1561" s="18">
        <v>0</v>
      </c>
      <c r="D1561" s="18">
        <v>0</v>
      </c>
      <c r="E1561" s="18">
        <v>0</v>
      </c>
    </row>
    <row r="1562" spans="1:5" x14ac:dyDescent="0.25">
      <c r="A1562" s="18">
        <v>1957</v>
      </c>
      <c r="B1562" s="18" t="s">
        <v>38</v>
      </c>
      <c r="C1562" s="18">
        <v>0</v>
      </c>
      <c r="D1562" s="18">
        <v>0</v>
      </c>
      <c r="E1562" s="18">
        <v>0</v>
      </c>
    </row>
    <row r="1563" spans="1:5" x14ac:dyDescent="0.25">
      <c r="A1563" s="18">
        <v>1958</v>
      </c>
      <c r="B1563" s="18" t="s">
        <v>38</v>
      </c>
      <c r="C1563" s="18">
        <v>0</v>
      </c>
      <c r="D1563" s="18">
        <v>0</v>
      </c>
      <c r="E1563" s="18">
        <v>0</v>
      </c>
    </row>
    <row r="1564" spans="1:5" x14ac:dyDescent="0.25">
      <c r="A1564" s="18">
        <v>1959</v>
      </c>
      <c r="B1564" s="18" t="s">
        <v>38</v>
      </c>
      <c r="C1564" s="18">
        <v>0</v>
      </c>
      <c r="D1564" s="18">
        <v>0</v>
      </c>
      <c r="E1564" s="18">
        <v>0</v>
      </c>
    </row>
    <row r="1565" spans="1:5" x14ac:dyDescent="0.25">
      <c r="A1565" s="18">
        <v>1960</v>
      </c>
      <c r="B1565" s="18" t="s">
        <v>38</v>
      </c>
      <c r="C1565" s="18">
        <v>0</v>
      </c>
      <c r="D1565" s="18">
        <v>0</v>
      </c>
      <c r="E1565" s="18">
        <v>0</v>
      </c>
    </row>
    <row r="1566" spans="1:5" x14ac:dyDescent="0.25">
      <c r="A1566" s="18">
        <v>1961</v>
      </c>
      <c r="B1566" s="18" t="s">
        <v>38</v>
      </c>
      <c r="C1566" s="18">
        <v>0</v>
      </c>
      <c r="D1566" s="18">
        <v>0</v>
      </c>
      <c r="E1566" s="18">
        <v>0</v>
      </c>
    </row>
    <row r="1567" spans="1:5" x14ac:dyDescent="0.25">
      <c r="A1567" s="18">
        <v>1962</v>
      </c>
      <c r="B1567" s="18" t="s">
        <v>38</v>
      </c>
      <c r="C1567" s="18">
        <v>0</v>
      </c>
      <c r="D1567" s="18">
        <v>0</v>
      </c>
      <c r="E1567" s="18">
        <v>0</v>
      </c>
    </row>
    <row r="1568" spans="1:5" x14ac:dyDescent="0.25">
      <c r="A1568" s="18">
        <v>1963</v>
      </c>
      <c r="B1568" s="18" t="s">
        <v>38</v>
      </c>
      <c r="C1568" s="18">
        <v>0</v>
      </c>
      <c r="D1568" s="18">
        <v>0</v>
      </c>
      <c r="E1568" s="18">
        <v>0</v>
      </c>
    </row>
    <row r="1569" spans="1:5" x14ac:dyDescent="0.25">
      <c r="A1569" s="18">
        <v>1964</v>
      </c>
      <c r="B1569" s="18" t="s">
        <v>38</v>
      </c>
      <c r="C1569" s="18">
        <v>0</v>
      </c>
      <c r="D1569" s="18">
        <v>0</v>
      </c>
      <c r="E1569" s="18">
        <v>0</v>
      </c>
    </row>
    <row r="1570" spans="1:5" x14ac:dyDescent="0.25">
      <c r="A1570" s="18">
        <v>1965</v>
      </c>
      <c r="B1570" s="18" t="s">
        <v>38</v>
      </c>
      <c r="C1570" s="18">
        <v>0</v>
      </c>
      <c r="D1570" s="18">
        <v>0</v>
      </c>
      <c r="E1570" s="18">
        <v>0</v>
      </c>
    </row>
    <row r="1571" spans="1:5" x14ac:dyDescent="0.25">
      <c r="A1571" s="18">
        <v>1966</v>
      </c>
      <c r="B1571" s="18" t="s">
        <v>38</v>
      </c>
      <c r="C1571" s="18">
        <v>0</v>
      </c>
      <c r="D1571" s="18">
        <v>0</v>
      </c>
      <c r="E1571" s="18">
        <v>0</v>
      </c>
    </row>
    <row r="1572" spans="1:5" x14ac:dyDescent="0.25">
      <c r="A1572" s="18">
        <v>1967</v>
      </c>
      <c r="B1572" s="18" t="s">
        <v>38</v>
      </c>
      <c r="C1572" s="18">
        <v>0</v>
      </c>
      <c r="D1572" s="18">
        <v>0</v>
      </c>
      <c r="E1572" s="18">
        <v>0</v>
      </c>
    </row>
    <row r="1573" spans="1:5" x14ac:dyDescent="0.25">
      <c r="A1573" s="18">
        <v>1968</v>
      </c>
      <c r="B1573" s="18" t="s">
        <v>38</v>
      </c>
      <c r="C1573" s="18">
        <v>0</v>
      </c>
      <c r="D1573" s="18">
        <v>0</v>
      </c>
      <c r="E1573" s="18">
        <v>0</v>
      </c>
    </row>
    <row r="1574" spans="1:5" x14ac:dyDescent="0.25">
      <c r="A1574" s="18">
        <v>1969</v>
      </c>
      <c r="B1574" s="18" t="s">
        <v>38</v>
      </c>
      <c r="C1574" s="18">
        <v>0</v>
      </c>
      <c r="D1574" s="18">
        <v>0</v>
      </c>
      <c r="E1574" s="18">
        <v>0</v>
      </c>
    </row>
    <row r="1575" spans="1:5" x14ac:dyDescent="0.25">
      <c r="A1575" s="18">
        <v>1970</v>
      </c>
      <c r="B1575" s="18" t="s">
        <v>38</v>
      </c>
      <c r="C1575" s="18">
        <v>0</v>
      </c>
      <c r="D1575" s="18">
        <v>0</v>
      </c>
      <c r="E1575" s="18">
        <v>0</v>
      </c>
    </row>
    <row r="1576" spans="1:5" x14ac:dyDescent="0.25">
      <c r="A1576" s="18">
        <v>1971</v>
      </c>
      <c r="B1576" s="18" t="s">
        <v>38</v>
      </c>
      <c r="C1576" s="18">
        <v>0</v>
      </c>
      <c r="D1576" s="18">
        <v>0</v>
      </c>
      <c r="E1576" s="18">
        <v>0</v>
      </c>
    </row>
    <row r="1577" spans="1:5" x14ac:dyDescent="0.25">
      <c r="A1577" s="18">
        <v>1972</v>
      </c>
      <c r="B1577" s="18" t="s">
        <v>38</v>
      </c>
      <c r="C1577" s="18">
        <v>0</v>
      </c>
      <c r="D1577" s="18">
        <v>0</v>
      </c>
      <c r="E1577" s="18">
        <v>0</v>
      </c>
    </row>
    <row r="1578" spans="1:5" x14ac:dyDescent="0.25">
      <c r="A1578" s="18">
        <v>1973</v>
      </c>
      <c r="B1578" s="18" t="s">
        <v>38</v>
      </c>
      <c r="C1578" s="18">
        <v>0</v>
      </c>
      <c r="D1578" s="18">
        <v>0</v>
      </c>
      <c r="E1578" s="18">
        <v>0</v>
      </c>
    </row>
    <row r="1579" spans="1:5" x14ac:dyDescent="0.25">
      <c r="A1579" s="18">
        <v>1974</v>
      </c>
      <c r="B1579" s="18" t="s">
        <v>38</v>
      </c>
      <c r="C1579" s="18">
        <v>0</v>
      </c>
      <c r="D1579" s="18">
        <v>0</v>
      </c>
      <c r="E1579" s="18">
        <v>0</v>
      </c>
    </row>
    <row r="1580" spans="1:5" x14ac:dyDescent="0.25">
      <c r="A1580" s="18">
        <v>1975</v>
      </c>
      <c r="B1580" s="18" t="s">
        <v>38</v>
      </c>
      <c r="C1580" s="18">
        <v>3470</v>
      </c>
      <c r="D1580" s="18">
        <v>3491</v>
      </c>
      <c r="E1580" s="18">
        <v>6967</v>
      </c>
    </row>
    <row r="1581" spans="1:5" x14ac:dyDescent="0.25">
      <c r="A1581" s="18">
        <v>1976</v>
      </c>
      <c r="B1581" s="18" t="s">
        <v>38</v>
      </c>
      <c r="C1581" s="18">
        <v>0</v>
      </c>
      <c r="D1581" s="18">
        <v>0</v>
      </c>
      <c r="E1581" s="18">
        <v>0</v>
      </c>
    </row>
    <row r="1582" spans="1:5" x14ac:dyDescent="0.25">
      <c r="A1582" s="18">
        <v>1977</v>
      </c>
      <c r="B1582" s="18" t="s">
        <v>38</v>
      </c>
      <c r="C1582" s="18">
        <v>0</v>
      </c>
      <c r="D1582" s="18">
        <v>0</v>
      </c>
      <c r="E1582" s="18">
        <v>0</v>
      </c>
    </row>
    <row r="1583" spans="1:5" x14ac:dyDescent="0.25">
      <c r="A1583" s="18">
        <v>1978</v>
      </c>
      <c r="B1583" s="18" t="s">
        <v>38</v>
      </c>
      <c r="C1583" s="18">
        <v>0</v>
      </c>
      <c r="D1583" s="18">
        <v>0</v>
      </c>
      <c r="E1583" s="18">
        <v>0</v>
      </c>
    </row>
    <row r="1584" spans="1:5" x14ac:dyDescent="0.25">
      <c r="A1584" s="18">
        <v>1979</v>
      </c>
      <c r="B1584" s="18" t="s">
        <v>38</v>
      </c>
      <c r="C1584" s="18">
        <v>0</v>
      </c>
      <c r="D1584" s="18">
        <v>0</v>
      </c>
      <c r="E1584" s="18">
        <v>0</v>
      </c>
    </row>
    <row r="1585" spans="1:5" x14ac:dyDescent="0.25">
      <c r="A1585" s="18">
        <v>1980</v>
      </c>
      <c r="B1585" s="18" t="s">
        <v>38</v>
      </c>
      <c r="C1585" s="18">
        <v>4151</v>
      </c>
      <c r="D1585" s="18">
        <v>4410</v>
      </c>
      <c r="E1585" s="18">
        <v>8561</v>
      </c>
    </row>
    <row r="1586" spans="1:5" x14ac:dyDescent="0.25">
      <c r="A1586" s="18">
        <v>1981</v>
      </c>
      <c r="B1586" s="18" t="s">
        <v>38</v>
      </c>
      <c r="C1586" s="18">
        <v>0</v>
      </c>
      <c r="D1586" s="18">
        <v>0</v>
      </c>
      <c r="E1586" s="18">
        <v>0</v>
      </c>
    </row>
    <row r="1587" spans="1:5" x14ac:dyDescent="0.25">
      <c r="A1587" s="18">
        <v>1982</v>
      </c>
      <c r="B1587" s="18" t="s">
        <v>38</v>
      </c>
      <c r="C1587" s="18">
        <v>0</v>
      </c>
      <c r="D1587" s="18">
        <v>0</v>
      </c>
      <c r="E1587" s="18">
        <v>0</v>
      </c>
    </row>
    <row r="1588" spans="1:5" x14ac:dyDescent="0.25">
      <c r="A1588" s="18">
        <v>1983</v>
      </c>
      <c r="B1588" s="18" t="s">
        <v>38</v>
      </c>
      <c r="C1588" s="18">
        <v>0</v>
      </c>
      <c r="D1588" s="18">
        <v>0</v>
      </c>
      <c r="E1588" s="18">
        <v>0</v>
      </c>
    </row>
    <row r="1589" spans="1:5" x14ac:dyDescent="0.25">
      <c r="A1589" s="18">
        <v>1984</v>
      </c>
      <c r="B1589" s="18" t="s">
        <v>38</v>
      </c>
      <c r="C1589" s="18">
        <v>0</v>
      </c>
      <c r="D1589" s="18">
        <v>0</v>
      </c>
      <c r="E1589" s="18">
        <v>0</v>
      </c>
    </row>
    <row r="1590" spans="1:5" x14ac:dyDescent="0.25">
      <c r="A1590" s="18">
        <v>1985</v>
      </c>
      <c r="B1590" s="18" t="s">
        <v>38</v>
      </c>
      <c r="C1590" s="18">
        <v>3998</v>
      </c>
      <c r="D1590" s="18">
        <v>4125</v>
      </c>
      <c r="E1590" s="18">
        <v>8124</v>
      </c>
    </row>
    <row r="1591" spans="1:5" x14ac:dyDescent="0.25">
      <c r="A1591" s="18">
        <v>1986</v>
      </c>
      <c r="B1591" s="18" t="s">
        <v>38</v>
      </c>
      <c r="C1591" s="18">
        <v>0</v>
      </c>
      <c r="D1591" s="18">
        <v>0</v>
      </c>
      <c r="E1591" s="18">
        <v>0</v>
      </c>
    </row>
    <row r="1592" spans="1:5" x14ac:dyDescent="0.25">
      <c r="A1592" s="18">
        <v>1987</v>
      </c>
      <c r="B1592" s="18" t="s">
        <v>38</v>
      </c>
      <c r="C1592" s="18">
        <v>0</v>
      </c>
      <c r="D1592" s="18">
        <v>0</v>
      </c>
      <c r="E1592" s="18">
        <v>0</v>
      </c>
    </row>
    <row r="1593" spans="1:5" x14ac:dyDescent="0.25">
      <c r="A1593" s="18">
        <v>1988</v>
      </c>
      <c r="B1593" s="18" t="s">
        <v>38</v>
      </c>
      <c r="C1593" s="18">
        <v>0</v>
      </c>
      <c r="D1593" s="18">
        <v>0</v>
      </c>
      <c r="E1593" s="18">
        <v>0</v>
      </c>
    </row>
    <row r="1594" spans="1:5" x14ac:dyDescent="0.25">
      <c r="A1594" s="18">
        <v>1989</v>
      </c>
      <c r="B1594" s="18" t="s">
        <v>38</v>
      </c>
      <c r="C1594" s="18">
        <v>0</v>
      </c>
      <c r="D1594" s="18">
        <v>0</v>
      </c>
      <c r="E1594" s="18">
        <v>0</v>
      </c>
    </row>
    <row r="1595" spans="1:5" x14ac:dyDescent="0.25">
      <c r="A1595" s="18">
        <v>1990</v>
      </c>
      <c r="B1595" s="18" t="s">
        <v>38</v>
      </c>
      <c r="C1595" s="18">
        <v>5539</v>
      </c>
      <c r="D1595" s="18">
        <v>5775</v>
      </c>
      <c r="E1595" s="18">
        <v>11315</v>
      </c>
    </row>
    <row r="1596" spans="1:5" x14ac:dyDescent="0.25">
      <c r="A1596" s="18">
        <v>1991</v>
      </c>
      <c r="B1596" s="18" t="s">
        <v>38</v>
      </c>
      <c r="C1596" s="18">
        <v>0</v>
      </c>
      <c r="D1596" s="18">
        <v>0</v>
      </c>
      <c r="E1596" s="18">
        <v>0</v>
      </c>
    </row>
    <row r="1597" spans="1:5" x14ac:dyDescent="0.25">
      <c r="A1597" s="18">
        <v>1992</v>
      </c>
      <c r="B1597" s="18" t="s">
        <v>38</v>
      </c>
      <c r="C1597" s="18">
        <v>0</v>
      </c>
      <c r="D1597" s="18">
        <v>0</v>
      </c>
      <c r="E1597" s="18">
        <v>0</v>
      </c>
    </row>
    <row r="1598" spans="1:5" x14ac:dyDescent="0.25">
      <c r="A1598" s="18">
        <v>1993</v>
      </c>
      <c r="B1598" s="18" t="s">
        <v>38</v>
      </c>
      <c r="C1598" s="18">
        <v>0</v>
      </c>
      <c r="D1598" s="18">
        <v>0</v>
      </c>
      <c r="E1598" s="18">
        <v>0</v>
      </c>
    </row>
    <row r="1599" spans="1:5" x14ac:dyDescent="0.25">
      <c r="A1599" s="18">
        <v>1994</v>
      </c>
      <c r="B1599" s="18" t="s">
        <v>38</v>
      </c>
      <c r="C1599" s="18">
        <v>0</v>
      </c>
      <c r="D1599" s="18">
        <v>0</v>
      </c>
      <c r="E1599" s="18">
        <v>0</v>
      </c>
    </row>
    <row r="1600" spans="1:5" x14ac:dyDescent="0.25">
      <c r="A1600" s="18">
        <v>1995</v>
      </c>
      <c r="B1600" s="18" t="s">
        <v>38</v>
      </c>
      <c r="C1600" s="18">
        <v>0</v>
      </c>
      <c r="D1600" s="18">
        <v>0</v>
      </c>
      <c r="E1600" s="18">
        <v>0</v>
      </c>
    </row>
    <row r="1601" spans="1:5" x14ac:dyDescent="0.25">
      <c r="A1601" s="18">
        <v>1996</v>
      </c>
      <c r="B1601" s="18" t="s">
        <v>38</v>
      </c>
      <c r="C1601" s="18">
        <v>0</v>
      </c>
      <c r="D1601" s="18">
        <v>0</v>
      </c>
      <c r="E1601" s="18">
        <v>0</v>
      </c>
    </row>
    <row r="1602" spans="1:5" x14ac:dyDescent="0.25">
      <c r="A1602" s="18">
        <v>1997</v>
      </c>
      <c r="B1602" s="18" t="s">
        <v>38</v>
      </c>
      <c r="C1602" s="18">
        <v>0</v>
      </c>
      <c r="D1602" s="18">
        <v>0</v>
      </c>
      <c r="E1602" s="18">
        <v>0</v>
      </c>
    </row>
    <row r="1603" spans="1:5" x14ac:dyDescent="0.25">
      <c r="A1603" s="18">
        <v>1998</v>
      </c>
      <c r="B1603" s="18" t="s">
        <v>38</v>
      </c>
      <c r="C1603" s="18">
        <v>0</v>
      </c>
      <c r="D1603" s="18">
        <v>0</v>
      </c>
      <c r="E1603" s="18">
        <v>0</v>
      </c>
    </row>
    <row r="1604" spans="1:5" x14ac:dyDescent="0.25">
      <c r="A1604" s="18">
        <v>1999</v>
      </c>
      <c r="B1604" s="18" t="s">
        <v>38</v>
      </c>
      <c r="C1604" s="18">
        <v>0</v>
      </c>
      <c r="D1604" s="18">
        <v>0</v>
      </c>
      <c r="E1604" s="18">
        <v>0</v>
      </c>
    </row>
    <row r="1605" spans="1:5" x14ac:dyDescent="0.25">
      <c r="A1605" s="18">
        <v>2000</v>
      </c>
      <c r="B1605" s="18" t="s">
        <v>38</v>
      </c>
      <c r="C1605" s="18">
        <v>6034</v>
      </c>
      <c r="D1605" s="18">
        <v>6220</v>
      </c>
      <c r="E1605" s="18">
        <v>12255</v>
      </c>
    </row>
    <row r="1606" spans="1:5" x14ac:dyDescent="0.25">
      <c r="A1606" s="18">
        <v>2001</v>
      </c>
      <c r="B1606" s="18" t="s">
        <v>38</v>
      </c>
      <c r="C1606" s="18">
        <v>0</v>
      </c>
      <c r="D1606" s="18">
        <v>0</v>
      </c>
      <c r="E1606" s="18">
        <v>0</v>
      </c>
    </row>
    <row r="1607" spans="1:5" x14ac:dyDescent="0.25">
      <c r="A1607" s="18">
        <v>2002</v>
      </c>
      <c r="B1607" s="18" t="s">
        <v>38</v>
      </c>
      <c r="C1607" s="18">
        <v>0</v>
      </c>
      <c r="D1607" s="18">
        <v>0</v>
      </c>
      <c r="E1607" s="18">
        <v>0</v>
      </c>
    </row>
    <row r="1608" spans="1:5" x14ac:dyDescent="0.25">
      <c r="A1608" s="18">
        <v>2003</v>
      </c>
      <c r="B1608" s="18" t="s">
        <v>38</v>
      </c>
      <c r="C1608" s="18">
        <v>0</v>
      </c>
      <c r="D1608" s="18">
        <v>0</v>
      </c>
      <c r="E1608" s="18">
        <v>0</v>
      </c>
    </row>
    <row r="1609" spans="1:5" x14ac:dyDescent="0.25">
      <c r="A1609" s="18">
        <v>2004</v>
      </c>
      <c r="B1609" s="18" t="s">
        <v>38</v>
      </c>
      <c r="C1609" s="18">
        <v>0</v>
      </c>
      <c r="D1609" s="18">
        <v>0</v>
      </c>
      <c r="E1609" s="18">
        <v>0</v>
      </c>
    </row>
    <row r="1610" spans="1:5" x14ac:dyDescent="0.25">
      <c r="A1610" s="18">
        <v>2005</v>
      </c>
      <c r="B1610" s="18" t="s">
        <v>38</v>
      </c>
      <c r="C1610" s="18">
        <v>0</v>
      </c>
      <c r="D1610" s="18">
        <v>0</v>
      </c>
      <c r="E1610" s="18">
        <v>0</v>
      </c>
    </row>
    <row r="1611" spans="1:5" x14ac:dyDescent="0.25">
      <c r="A1611" s="18">
        <v>2006</v>
      </c>
      <c r="B1611" s="18" t="s">
        <v>38</v>
      </c>
      <c r="C1611" s="18">
        <v>0</v>
      </c>
      <c r="D1611" s="18">
        <v>0</v>
      </c>
      <c r="E1611" s="18">
        <v>0</v>
      </c>
    </row>
    <row r="1612" spans="1:5" x14ac:dyDescent="0.25">
      <c r="A1612" s="18">
        <v>2007</v>
      </c>
      <c r="B1612" s="18" t="s">
        <v>38</v>
      </c>
      <c r="C1612" s="18">
        <v>0</v>
      </c>
      <c r="D1612" s="18">
        <v>0</v>
      </c>
      <c r="E1612" s="18">
        <v>0</v>
      </c>
    </row>
    <row r="1613" spans="1:5" x14ac:dyDescent="0.25">
      <c r="A1613" s="18">
        <v>2008</v>
      </c>
      <c r="B1613" s="18" t="s">
        <v>38</v>
      </c>
      <c r="C1613" s="18">
        <v>0</v>
      </c>
      <c r="D1613" s="18">
        <v>0</v>
      </c>
      <c r="E1613" s="18">
        <v>0</v>
      </c>
    </row>
    <row r="1614" spans="1:5" x14ac:dyDescent="0.25">
      <c r="A1614" s="18">
        <v>1950</v>
      </c>
      <c r="B1614" s="18" t="s">
        <v>62</v>
      </c>
      <c r="C1614" s="18">
        <v>0</v>
      </c>
      <c r="D1614" s="18">
        <v>0</v>
      </c>
      <c r="E1614" s="18">
        <v>0</v>
      </c>
    </row>
    <row r="1615" spans="1:5" x14ac:dyDescent="0.25">
      <c r="A1615" s="18">
        <v>1951</v>
      </c>
      <c r="B1615" s="18" t="s">
        <v>62</v>
      </c>
      <c r="C1615" s="18">
        <v>0</v>
      </c>
      <c r="D1615" s="18">
        <v>0</v>
      </c>
      <c r="E1615" s="18">
        <v>0</v>
      </c>
    </row>
    <row r="1616" spans="1:5" x14ac:dyDescent="0.25">
      <c r="A1616" s="18">
        <v>1952</v>
      </c>
      <c r="B1616" s="18" t="s">
        <v>62</v>
      </c>
      <c r="C1616" s="18">
        <v>0</v>
      </c>
      <c r="D1616" s="18">
        <v>0</v>
      </c>
      <c r="E1616" s="18">
        <v>0</v>
      </c>
    </row>
    <row r="1617" spans="1:5" x14ac:dyDescent="0.25">
      <c r="A1617" s="18">
        <v>1953</v>
      </c>
      <c r="B1617" s="18" t="s">
        <v>62</v>
      </c>
      <c r="C1617" s="18">
        <v>0</v>
      </c>
      <c r="D1617" s="18">
        <v>0</v>
      </c>
      <c r="E1617" s="18">
        <v>0</v>
      </c>
    </row>
    <row r="1618" spans="1:5" x14ac:dyDescent="0.25">
      <c r="A1618" s="18">
        <v>1954</v>
      </c>
      <c r="B1618" s="18" t="s">
        <v>62</v>
      </c>
      <c r="C1618" s="18">
        <v>0</v>
      </c>
      <c r="D1618" s="18">
        <v>0</v>
      </c>
      <c r="E1618" s="18">
        <v>0</v>
      </c>
    </row>
    <row r="1619" spans="1:5" x14ac:dyDescent="0.25">
      <c r="A1619" s="18">
        <v>1955</v>
      </c>
      <c r="B1619" s="18" t="s">
        <v>62</v>
      </c>
      <c r="C1619" s="18">
        <v>0</v>
      </c>
      <c r="D1619" s="18">
        <v>0</v>
      </c>
      <c r="E1619" s="18">
        <v>0</v>
      </c>
    </row>
    <row r="1620" spans="1:5" x14ac:dyDescent="0.25">
      <c r="A1620" s="18">
        <v>1956</v>
      </c>
      <c r="B1620" s="18" t="s">
        <v>62</v>
      </c>
      <c r="C1620" s="18">
        <v>0</v>
      </c>
      <c r="D1620" s="18">
        <v>0</v>
      </c>
      <c r="E1620" s="18">
        <v>0</v>
      </c>
    </row>
    <row r="1621" spans="1:5" x14ac:dyDescent="0.25">
      <c r="A1621" s="18">
        <v>1957</v>
      </c>
      <c r="B1621" s="18" t="s">
        <v>62</v>
      </c>
      <c r="C1621" s="18">
        <v>0</v>
      </c>
      <c r="D1621" s="18">
        <v>0</v>
      </c>
      <c r="E1621" s="18">
        <v>0</v>
      </c>
    </row>
    <row r="1622" spans="1:5" x14ac:dyDescent="0.25">
      <c r="A1622" s="18">
        <v>1958</v>
      </c>
      <c r="B1622" s="18" t="s">
        <v>62</v>
      </c>
      <c r="C1622" s="18">
        <v>0</v>
      </c>
      <c r="D1622" s="18">
        <v>0</v>
      </c>
      <c r="E1622" s="18">
        <v>0</v>
      </c>
    </row>
    <row r="1623" spans="1:5" x14ac:dyDescent="0.25">
      <c r="A1623" s="18">
        <v>1959</v>
      </c>
      <c r="B1623" s="18" t="s">
        <v>62</v>
      </c>
      <c r="C1623" s="18">
        <v>0</v>
      </c>
      <c r="D1623" s="18">
        <v>0</v>
      </c>
      <c r="E1623" s="18">
        <v>0</v>
      </c>
    </row>
    <row r="1624" spans="1:5" x14ac:dyDescent="0.25">
      <c r="A1624" s="18">
        <v>1960</v>
      </c>
      <c r="B1624" s="18" t="s">
        <v>62</v>
      </c>
      <c r="C1624" s="18">
        <v>0</v>
      </c>
      <c r="D1624" s="18">
        <v>0</v>
      </c>
      <c r="E1624" s="18">
        <v>0</v>
      </c>
    </row>
    <row r="1625" spans="1:5" x14ac:dyDescent="0.25">
      <c r="A1625" s="18">
        <v>1961</v>
      </c>
      <c r="B1625" s="18" t="s">
        <v>62</v>
      </c>
      <c r="C1625" s="18">
        <v>0</v>
      </c>
      <c r="D1625" s="18">
        <v>0</v>
      </c>
      <c r="E1625" s="18">
        <v>0</v>
      </c>
    </row>
    <row r="1626" spans="1:5" x14ac:dyDescent="0.25">
      <c r="A1626" s="18">
        <v>1962</v>
      </c>
      <c r="B1626" s="18" t="s">
        <v>62</v>
      </c>
      <c r="C1626" s="18">
        <v>0</v>
      </c>
      <c r="D1626" s="18">
        <v>0</v>
      </c>
      <c r="E1626" s="18">
        <v>0</v>
      </c>
    </row>
    <row r="1627" spans="1:5" x14ac:dyDescent="0.25">
      <c r="A1627" s="18">
        <v>1963</v>
      </c>
      <c r="B1627" s="18" t="s">
        <v>62</v>
      </c>
      <c r="C1627" s="18">
        <v>0</v>
      </c>
      <c r="D1627" s="18">
        <v>0</v>
      </c>
      <c r="E1627" s="18">
        <v>0</v>
      </c>
    </row>
    <row r="1628" spans="1:5" x14ac:dyDescent="0.25">
      <c r="A1628" s="18">
        <v>1964</v>
      </c>
      <c r="B1628" s="18" t="s">
        <v>62</v>
      </c>
      <c r="C1628" s="18">
        <v>0</v>
      </c>
      <c r="D1628" s="18">
        <v>0</v>
      </c>
      <c r="E1628" s="18">
        <v>0</v>
      </c>
    </row>
    <row r="1629" spans="1:5" x14ac:dyDescent="0.25">
      <c r="A1629" s="18">
        <v>1965</v>
      </c>
      <c r="B1629" s="18" t="s">
        <v>62</v>
      </c>
      <c r="C1629" s="18">
        <v>0</v>
      </c>
      <c r="D1629" s="18">
        <v>0</v>
      </c>
      <c r="E1629" s="18">
        <v>0</v>
      </c>
    </row>
    <row r="1630" spans="1:5" x14ac:dyDescent="0.25">
      <c r="A1630" s="18">
        <v>1966</v>
      </c>
      <c r="B1630" s="18" t="s">
        <v>62</v>
      </c>
      <c r="C1630" s="18">
        <v>0</v>
      </c>
      <c r="D1630" s="18">
        <v>0</v>
      </c>
      <c r="E1630" s="18">
        <v>0</v>
      </c>
    </row>
    <row r="1631" spans="1:5" x14ac:dyDescent="0.25">
      <c r="A1631" s="18">
        <v>1967</v>
      </c>
      <c r="B1631" s="18" t="s">
        <v>62</v>
      </c>
      <c r="C1631" s="18">
        <v>0</v>
      </c>
      <c r="D1631" s="18">
        <v>0</v>
      </c>
      <c r="E1631" s="18">
        <v>0</v>
      </c>
    </row>
    <row r="1632" spans="1:5" x14ac:dyDescent="0.25">
      <c r="A1632" s="18">
        <v>1968</v>
      </c>
      <c r="B1632" s="18" t="s">
        <v>62</v>
      </c>
      <c r="C1632" s="18">
        <v>0</v>
      </c>
      <c r="D1632" s="18">
        <v>0</v>
      </c>
      <c r="E1632" s="18">
        <v>0</v>
      </c>
    </row>
    <row r="1633" spans="1:5" x14ac:dyDescent="0.25">
      <c r="A1633" s="18">
        <v>1969</v>
      </c>
      <c r="B1633" s="18" t="s">
        <v>62</v>
      </c>
      <c r="C1633" s="18">
        <v>0</v>
      </c>
      <c r="D1633" s="18">
        <v>0</v>
      </c>
      <c r="E1633" s="18">
        <v>0</v>
      </c>
    </row>
    <row r="1634" spans="1:5" x14ac:dyDescent="0.25">
      <c r="A1634" s="18">
        <v>1970</v>
      </c>
      <c r="B1634" s="18" t="s">
        <v>62</v>
      </c>
      <c r="C1634" s="18">
        <v>6714</v>
      </c>
      <c r="D1634" s="18">
        <v>5660</v>
      </c>
      <c r="E1634" s="18">
        <v>12382</v>
      </c>
    </row>
    <row r="1635" spans="1:5" x14ac:dyDescent="0.25">
      <c r="A1635" s="18">
        <v>1971</v>
      </c>
      <c r="B1635" s="18" t="s">
        <v>62</v>
      </c>
      <c r="C1635" s="18">
        <v>0</v>
      </c>
      <c r="D1635" s="18">
        <v>0</v>
      </c>
      <c r="E1635" s="18">
        <v>0</v>
      </c>
    </row>
    <row r="1636" spans="1:5" x14ac:dyDescent="0.25">
      <c r="A1636" s="18">
        <v>1972</v>
      </c>
      <c r="B1636" s="18" t="s">
        <v>62</v>
      </c>
      <c r="C1636" s="18">
        <v>0</v>
      </c>
      <c r="D1636" s="18">
        <v>0</v>
      </c>
      <c r="E1636" s="18">
        <v>0</v>
      </c>
    </row>
    <row r="1637" spans="1:5" x14ac:dyDescent="0.25">
      <c r="A1637" s="18">
        <v>1973</v>
      </c>
      <c r="B1637" s="18" t="s">
        <v>62</v>
      </c>
      <c r="C1637" s="18">
        <v>0</v>
      </c>
      <c r="D1637" s="18">
        <v>0</v>
      </c>
      <c r="E1637" s="18">
        <v>0</v>
      </c>
    </row>
    <row r="1638" spans="1:5" x14ac:dyDescent="0.25">
      <c r="A1638" s="18">
        <v>1974</v>
      </c>
      <c r="B1638" s="18" t="s">
        <v>62</v>
      </c>
      <c r="C1638" s="18">
        <v>0</v>
      </c>
      <c r="D1638" s="18">
        <v>0</v>
      </c>
      <c r="E1638" s="18">
        <v>0</v>
      </c>
    </row>
    <row r="1639" spans="1:5" x14ac:dyDescent="0.25">
      <c r="A1639" s="18">
        <v>1975</v>
      </c>
      <c r="B1639" s="18" t="s">
        <v>62</v>
      </c>
      <c r="C1639" s="18">
        <v>7032</v>
      </c>
      <c r="D1639" s="18">
        <v>6677</v>
      </c>
      <c r="E1639" s="18">
        <v>13710</v>
      </c>
    </row>
    <row r="1640" spans="1:5" x14ac:dyDescent="0.25">
      <c r="A1640" s="18">
        <v>1976</v>
      </c>
      <c r="B1640" s="18" t="s">
        <v>62</v>
      </c>
      <c r="C1640" s="18">
        <v>0</v>
      </c>
      <c r="D1640" s="18">
        <v>0</v>
      </c>
      <c r="E1640" s="18">
        <v>0</v>
      </c>
    </row>
    <row r="1641" spans="1:5" x14ac:dyDescent="0.25">
      <c r="A1641" s="18">
        <v>1977</v>
      </c>
      <c r="B1641" s="18" t="s">
        <v>62</v>
      </c>
      <c r="C1641" s="18">
        <v>0</v>
      </c>
      <c r="D1641" s="18">
        <v>0</v>
      </c>
      <c r="E1641" s="18">
        <v>0</v>
      </c>
    </row>
    <row r="1642" spans="1:5" x14ac:dyDescent="0.25">
      <c r="A1642" s="18">
        <v>1978</v>
      </c>
      <c r="B1642" s="18" t="s">
        <v>62</v>
      </c>
      <c r="C1642" s="18">
        <v>0</v>
      </c>
      <c r="D1642" s="18">
        <v>0</v>
      </c>
      <c r="E1642" s="18">
        <v>0</v>
      </c>
    </row>
    <row r="1643" spans="1:5" x14ac:dyDescent="0.25">
      <c r="A1643" s="18">
        <v>1979</v>
      </c>
      <c r="B1643" s="18" t="s">
        <v>62</v>
      </c>
      <c r="C1643" s="18">
        <v>0</v>
      </c>
      <c r="D1643" s="18">
        <v>0</v>
      </c>
      <c r="E1643" s="18">
        <v>0</v>
      </c>
    </row>
    <row r="1644" spans="1:5" x14ac:dyDescent="0.25">
      <c r="A1644" s="18">
        <v>1980</v>
      </c>
      <c r="B1644" s="18" t="s">
        <v>62</v>
      </c>
      <c r="C1644" s="18">
        <v>8247</v>
      </c>
      <c r="D1644" s="18">
        <v>8585</v>
      </c>
      <c r="E1644" s="18">
        <v>16832</v>
      </c>
    </row>
    <row r="1645" spans="1:5" x14ac:dyDescent="0.25">
      <c r="A1645" s="18">
        <v>1981</v>
      </c>
      <c r="B1645" s="18" t="s">
        <v>62</v>
      </c>
      <c r="C1645" s="18">
        <v>0</v>
      </c>
      <c r="D1645" s="18">
        <v>0</v>
      </c>
      <c r="E1645" s="18">
        <v>0</v>
      </c>
    </row>
    <row r="1646" spans="1:5" x14ac:dyDescent="0.25">
      <c r="A1646" s="18">
        <v>1982</v>
      </c>
      <c r="B1646" s="18" t="s">
        <v>62</v>
      </c>
      <c r="C1646" s="18">
        <v>0</v>
      </c>
      <c r="D1646" s="18">
        <v>0</v>
      </c>
      <c r="E1646" s="18">
        <v>0</v>
      </c>
    </row>
    <row r="1647" spans="1:5" x14ac:dyDescent="0.25">
      <c r="A1647" s="18">
        <v>1983</v>
      </c>
      <c r="B1647" s="18" t="s">
        <v>62</v>
      </c>
      <c r="C1647" s="18">
        <v>0</v>
      </c>
      <c r="D1647" s="18">
        <v>0</v>
      </c>
      <c r="E1647" s="18">
        <v>0</v>
      </c>
    </row>
    <row r="1648" spans="1:5" x14ac:dyDescent="0.25">
      <c r="A1648" s="18">
        <v>1984</v>
      </c>
      <c r="B1648" s="18" t="s">
        <v>62</v>
      </c>
      <c r="C1648" s="18">
        <v>0</v>
      </c>
      <c r="D1648" s="18">
        <v>0</v>
      </c>
      <c r="E1648" s="18">
        <v>0</v>
      </c>
    </row>
    <row r="1649" spans="1:5" x14ac:dyDescent="0.25">
      <c r="A1649" s="18">
        <v>1985</v>
      </c>
      <c r="B1649" s="18" t="s">
        <v>62</v>
      </c>
      <c r="C1649" s="18">
        <v>9063</v>
      </c>
      <c r="D1649" s="18">
        <v>9616</v>
      </c>
      <c r="E1649" s="18">
        <v>18679</v>
      </c>
    </row>
    <row r="1650" spans="1:5" x14ac:dyDescent="0.25">
      <c r="A1650" s="18">
        <v>1986</v>
      </c>
      <c r="B1650" s="18" t="s">
        <v>62</v>
      </c>
      <c r="C1650" s="18">
        <v>0</v>
      </c>
      <c r="D1650" s="18">
        <v>0</v>
      </c>
      <c r="E1650" s="18">
        <v>0</v>
      </c>
    </row>
    <row r="1651" spans="1:5" x14ac:dyDescent="0.25">
      <c r="A1651" s="18">
        <v>1987</v>
      </c>
      <c r="B1651" s="18" t="s">
        <v>62</v>
      </c>
      <c r="C1651" s="18">
        <v>0</v>
      </c>
      <c r="D1651" s="18">
        <v>0</v>
      </c>
      <c r="E1651" s="18">
        <v>0</v>
      </c>
    </row>
    <row r="1652" spans="1:5" x14ac:dyDescent="0.25">
      <c r="A1652" s="18">
        <v>1988</v>
      </c>
      <c r="B1652" s="18" t="s">
        <v>62</v>
      </c>
      <c r="C1652" s="18">
        <v>0</v>
      </c>
      <c r="D1652" s="18">
        <v>0</v>
      </c>
      <c r="E1652" s="18">
        <v>0</v>
      </c>
    </row>
    <row r="1653" spans="1:5" x14ac:dyDescent="0.25">
      <c r="A1653" s="18">
        <v>1989</v>
      </c>
      <c r="B1653" s="18" t="s">
        <v>62</v>
      </c>
      <c r="C1653" s="18">
        <v>0</v>
      </c>
      <c r="D1653" s="18">
        <v>0</v>
      </c>
      <c r="E1653" s="18">
        <v>0</v>
      </c>
    </row>
    <row r="1654" spans="1:5" x14ac:dyDescent="0.25">
      <c r="A1654" s="18">
        <v>1990</v>
      </c>
      <c r="B1654" s="18" t="s">
        <v>62</v>
      </c>
      <c r="C1654" s="18">
        <v>9873</v>
      </c>
      <c r="D1654" s="18">
        <v>10171</v>
      </c>
      <c r="E1654" s="18">
        <v>20044</v>
      </c>
    </row>
    <row r="1655" spans="1:5" x14ac:dyDescent="0.25">
      <c r="A1655" s="18">
        <v>1991</v>
      </c>
      <c r="B1655" s="18" t="s">
        <v>62</v>
      </c>
      <c r="C1655" s="18">
        <v>0</v>
      </c>
      <c r="D1655" s="18">
        <v>0</v>
      </c>
      <c r="E1655" s="18">
        <v>0</v>
      </c>
    </row>
    <row r="1656" spans="1:5" x14ac:dyDescent="0.25">
      <c r="A1656" s="18">
        <v>1992</v>
      </c>
      <c r="B1656" s="18" t="s">
        <v>62</v>
      </c>
      <c r="C1656" s="18">
        <v>0</v>
      </c>
      <c r="D1656" s="18">
        <v>0</v>
      </c>
      <c r="E1656" s="18">
        <v>0</v>
      </c>
    </row>
    <row r="1657" spans="1:5" x14ac:dyDescent="0.25">
      <c r="A1657" s="18">
        <v>1993</v>
      </c>
      <c r="B1657" s="18" t="s">
        <v>62</v>
      </c>
      <c r="C1657" s="18">
        <v>0</v>
      </c>
      <c r="D1657" s="18">
        <v>0</v>
      </c>
      <c r="E1657" s="18">
        <v>0</v>
      </c>
    </row>
    <row r="1658" spans="1:5" x14ac:dyDescent="0.25">
      <c r="A1658" s="18">
        <v>1994</v>
      </c>
      <c r="B1658" s="18" t="s">
        <v>62</v>
      </c>
      <c r="C1658" s="18">
        <v>0</v>
      </c>
      <c r="D1658" s="18">
        <v>0</v>
      </c>
      <c r="E1658" s="18">
        <v>0</v>
      </c>
    </row>
    <row r="1659" spans="1:5" x14ac:dyDescent="0.25">
      <c r="A1659" s="18">
        <v>1995</v>
      </c>
      <c r="B1659" s="18" t="s">
        <v>62</v>
      </c>
      <c r="C1659" s="18">
        <v>0</v>
      </c>
      <c r="D1659" s="18">
        <v>0</v>
      </c>
      <c r="E1659" s="18">
        <v>0</v>
      </c>
    </row>
    <row r="1660" spans="1:5" x14ac:dyDescent="0.25">
      <c r="A1660" s="18">
        <v>1996</v>
      </c>
      <c r="B1660" s="18" t="s">
        <v>62</v>
      </c>
      <c r="C1660" s="18">
        <v>0</v>
      </c>
      <c r="D1660" s="18">
        <v>0</v>
      </c>
      <c r="E1660" s="18">
        <v>0</v>
      </c>
    </row>
    <row r="1661" spans="1:5" x14ac:dyDescent="0.25">
      <c r="A1661" s="18">
        <v>1997</v>
      </c>
      <c r="B1661" s="18" t="s">
        <v>62</v>
      </c>
      <c r="C1661" s="18">
        <v>0</v>
      </c>
      <c r="D1661" s="18">
        <v>0</v>
      </c>
      <c r="E1661" s="18">
        <v>0</v>
      </c>
    </row>
    <row r="1662" spans="1:5" x14ac:dyDescent="0.25">
      <c r="A1662" s="18">
        <v>1998</v>
      </c>
      <c r="B1662" s="18" t="s">
        <v>62</v>
      </c>
      <c r="C1662" s="18">
        <v>0</v>
      </c>
      <c r="D1662" s="18">
        <v>0</v>
      </c>
      <c r="E1662" s="18">
        <v>0</v>
      </c>
    </row>
    <row r="1663" spans="1:5" x14ac:dyDescent="0.25">
      <c r="A1663" s="18">
        <v>1999</v>
      </c>
      <c r="B1663" s="18" t="s">
        <v>62</v>
      </c>
      <c r="C1663" s="18">
        <v>0</v>
      </c>
      <c r="D1663" s="18">
        <v>0</v>
      </c>
      <c r="E1663" s="18">
        <v>0</v>
      </c>
    </row>
    <row r="1664" spans="1:5" x14ac:dyDescent="0.25">
      <c r="A1664" s="18">
        <v>2000</v>
      </c>
      <c r="B1664" s="18" t="s">
        <v>62</v>
      </c>
      <c r="C1664" s="18">
        <v>12764</v>
      </c>
      <c r="D1664" s="18">
        <v>13256</v>
      </c>
      <c r="E1664" s="18">
        <v>26020</v>
      </c>
    </row>
    <row r="1665" spans="1:5" x14ac:dyDescent="0.25">
      <c r="A1665" s="18">
        <v>2001</v>
      </c>
      <c r="B1665" s="18" t="s">
        <v>62</v>
      </c>
      <c r="C1665" s="18">
        <v>0</v>
      </c>
      <c r="D1665" s="18">
        <v>0</v>
      </c>
      <c r="E1665" s="18">
        <v>0</v>
      </c>
    </row>
    <row r="1666" spans="1:5" x14ac:dyDescent="0.25">
      <c r="A1666" s="18">
        <v>2002</v>
      </c>
      <c r="B1666" s="18" t="s">
        <v>62</v>
      </c>
      <c r="C1666" s="18">
        <v>0</v>
      </c>
      <c r="D1666" s="18">
        <v>0</v>
      </c>
      <c r="E1666" s="18">
        <v>0</v>
      </c>
    </row>
    <row r="1667" spans="1:5" x14ac:dyDescent="0.25">
      <c r="A1667" s="18">
        <v>2003</v>
      </c>
      <c r="B1667" s="18" t="s">
        <v>62</v>
      </c>
      <c r="C1667" s="18">
        <v>0</v>
      </c>
      <c r="D1667" s="18">
        <v>0</v>
      </c>
      <c r="E1667" s="18">
        <v>0</v>
      </c>
    </row>
    <row r="1668" spans="1:5" x14ac:dyDescent="0.25">
      <c r="A1668" s="18">
        <v>2004</v>
      </c>
      <c r="B1668" s="18" t="s">
        <v>62</v>
      </c>
      <c r="C1668" s="18">
        <v>0</v>
      </c>
      <c r="D1668" s="18">
        <v>0</v>
      </c>
      <c r="E1668" s="18">
        <v>0</v>
      </c>
    </row>
    <row r="1669" spans="1:5" x14ac:dyDescent="0.25">
      <c r="A1669" s="18">
        <v>2005</v>
      </c>
      <c r="B1669" s="18" t="s">
        <v>62</v>
      </c>
      <c r="C1669" s="18">
        <v>0</v>
      </c>
      <c r="D1669" s="18">
        <v>0</v>
      </c>
      <c r="E1669" s="18">
        <v>0</v>
      </c>
    </row>
    <row r="1670" spans="1:5" x14ac:dyDescent="0.25">
      <c r="A1670" s="18">
        <v>2006</v>
      </c>
      <c r="B1670" s="18" t="s">
        <v>62</v>
      </c>
      <c r="C1670" s="18">
        <v>0</v>
      </c>
      <c r="D1670" s="18">
        <v>0</v>
      </c>
      <c r="E1670" s="18">
        <v>0</v>
      </c>
    </row>
    <row r="1671" spans="1:5" x14ac:dyDescent="0.25">
      <c r="A1671" s="18">
        <v>2007</v>
      </c>
      <c r="B1671" s="18" t="s">
        <v>62</v>
      </c>
      <c r="C1671" s="18">
        <v>0</v>
      </c>
      <c r="D1671" s="18">
        <v>0</v>
      </c>
      <c r="E1671" s="18">
        <v>0</v>
      </c>
    </row>
    <row r="1672" spans="1:5" x14ac:dyDescent="0.25">
      <c r="A1672" s="18">
        <v>2008</v>
      </c>
      <c r="B1672" s="18" t="s">
        <v>62</v>
      </c>
      <c r="C1672" s="18">
        <v>0</v>
      </c>
      <c r="D1672" s="18">
        <v>0</v>
      </c>
      <c r="E1672" s="18">
        <v>0</v>
      </c>
    </row>
    <row r="1673" spans="1:5" x14ac:dyDescent="0.25">
      <c r="A1673" s="18">
        <v>1950</v>
      </c>
      <c r="B1673" s="18" t="s">
        <v>102</v>
      </c>
      <c r="C1673" s="18">
        <v>0</v>
      </c>
      <c r="D1673" s="18">
        <v>0</v>
      </c>
      <c r="E1673" s="18">
        <v>0</v>
      </c>
    </row>
    <row r="1674" spans="1:5" x14ac:dyDescent="0.25">
      <c r="A1674" s="18">
        <v>1951</v>
      </c>
      <c r="B1674" s="18" t="s">
        <v>102</v>
      </c>
      <c r="C1674" s="18">
        <v>0</v>
      </c>
      <c r="D1674" s="18">
        <v>0</v>
      </c>
      <c r="E1674" s="18">
        <v>0</v>
      </c>
    </row>
    <row r="1675" spans="1:5" x14ac:dyDescent="0.25">
      <c r="A1675" s="18">
        <v>1952</v>
      </c>
      <c r="B1675" s="18" t="s">
        <v>102</v>
      </c>
      <c r="C1675" s="18">
        <v>0</v>
      </c>
      <c r="D1675" s="18">
        <v>0</v>
      </c>
      <c r="E1675" s="18">
        <v>0</v>
      </c>
    </row>
    <row r="1676" spans="1:5" x14ac:dyDescent="0.25">
      <c r="A1676" s="18">
        <v>1953</v>
      </c>
      <c r="B1676" s="18" t="s">
        <v>102</v>
      </c>
      <c r="C1676" s="18">
        <v>0</v>
      </c>
      <c r="D1676" s="18">
        <v>0</v>
      </c>
      <c r="E1676" s="18">
        <v>0</v>
      </c>
    </row>
    <row r="1677" spans="1:5" x14ac:dyDescent="0.25">
      <c r="A1677" s="18">
        <v>1954</v>
      </c>
      <c r="B1677" s="18" t="s">
        <v>102</v>
      </c>
      <c r="C1677" s="18">
        <v>0</v>
      </c>
      <c r="D1677" s="18">
        <v>0</v>
      </c>
      <c r="E1677" s="18">
        <v>0</v>
      </c>
    </row>
    <row r="1678" spans="1:5" x14ac:dyDescent="0.25">
      <c r="A1678" s="18">
        <v>1955</v>
      </c>
      <c r="B1678" s="18" t="s">
        <v>102</v>
      </c>
      <c r="C1678" s="18">
        <v>0</v>
      </c>
      <c r="D1678" s="18">
        <v>0</v>
      </c>
      <c r="E1678" s="18">
        <v>0</v>
      </c>
    </row>
    <row r="1679" spans="1:5" x14ac:dyDescent="0.25">
      <c r="A1679" s="18">
        <v>1956</v>
      </c>
      <c r="B1679" s="18" t="s">
        <v>102</v>
      </c>
      <c r="C1679" s="18">
        <v>0</v>
      </c>
      <c r="D1679" s="18">
        <v>0</v>
      </c>
      <c r="E1679" s="18">
        <v>0</v>
      </c>
    </row>
    <row r="1680" spans="1:5" x14ac:dyDescent="0.25">
      <c r="A1680" s="18">
        <v>1957</v>
      </c>
      <c r="B1680" s="18" t="s">
        <v>102</v>
      </c>
      <c r="C1680" s="18">
        <v>0</v>
      </c>
      <c r="D1680" s="18">
        <v>0</v>
      </c>
      <c r="E1680" s="18">
        <v>0</v>
      </c>
    </row>
    <row r="1681" spans="1:5" x14ac:dyDescent="0.25">
      <c r="A1681" s="18">
        <v>1958</v>
      </c>
      <c r="B1681" s="18" t="s">
        <v>102</v>
      </c>
      <c r="C1681" s="18">
        <v>0</v>
      </c>
      <c r="D1681" s="18">
        <v>0</v>
      </c>
      <c r="E1681" s="18">
        <v>0</v>
      </c>
    </row>
    <row r="1682" spans="1:5" x14ac:dyDescent="0.25">
      <c r="A1682" s="18">
        <v>1959</v>
      </c>
      <c r="B1682" s="18" t="s">
        <v>102</v>
      </c>
      <c r="C1682" s="18">
        <v>0</v>
      </c>
      <c r="D1682" s="18">
        <v>0</v>
      </c>
      <c r="E1682" s="18">
        <v>0</v>
      </c>
    </row>
    <row r="1683" spans="1:5" x14ac:dyDescent="0.25">
      <c r="A1683" s="18">
        <v>1960</v>
      </c>
      <c r="B1683" s="18" t="s">
        <v>102</v>
      </c>
      <c r="C1683" s="18">
        <v>0</v>
      </c>
      <c r="D1683" s="18">
        <v>0</v>
      </c>
      <c r="E1683" s="18">
        <v>0</v>
      </c>
    </row>
    <row r="1684" spans="1:5" x14ac:dyDescent="0.25">
      <c r="A1684" s="18">
        <v>1961</v>
      </c>
      <c r="B1684" s="18" t="s">
        <v>102</v>
      </c>
      <c r="C1684" s="18">
        <v>0</v>
      </c>
      <c r="D1684" s="18">
        <v>0</v>
      </c>
      <c r="E1684" s="18">
        <v>0</v>
      </c>
    </row>
    <row r="1685" spans="1:5" x14ac:dyDescent="0.25">
      <c r="A1685" s="18">
        <v>1962</v>
      </c>
      <c r="B1685" s="18" t="s">
        <v>102</v>
      </c>
      <c r="C1685" s="18">
        <v>0</v>
      </c>
      <c r="D1685" s="18">
        <v>0</v>
      </c>
      <c r="E1685" s="18">
        <v>0</v>
      </c>
    </row>
    <row r="1686" spans="1:5" x14ac:dyDescent="0.25">
      <c r="A1686" s="18">
        <v>1963</v>
      </c>
      <c r="B1686" s="18" t="s">
        <v>102</v>
      </c>
      <c r="C1686" s="18">
        <v>0</v>
      </c>
      <c r="D1686" s="18">
        <v>0</v>
      </c>
      <c r="E1686" s="18">
        <v>0</v>
      </c>
    </row>
    <row r="1687" spans="1:5" x14ac:dyDescent="0.25">
      <c r="A1687" s="18">
        <v>1964</v>
      </c>
      <c r="B1687" s="18" t="s">
        <v>102</v>
      </c>
      <c r="C1687" s="18">
        <v>0</v>
      </c>
      <c r="D1687" s="18">
        <v>0</v>
      </c>
      <c r="E1687" s="18">
        <v>0</v>
      </c>
    </row>
    <row r="1688" spans="1:5" x14ac:dyDescent="0.25">
      <c r="A1688" s="18">
        <v>1965</v>
      </c>
      <c r="B1688" s="18" t="s">
        <v>102</v>
      </c>
      <c r="C1688" s="18">
        <v>0</v>
      </c>
      <c r="D1688" s="18">
        <v>0</v>
      </c>
      <c r="E1688" s="18">
        <v>0</v>
      </c>
    </row>
    <row r="1689" spans="1:5" x14ac:dyDescent="0.25">
      <c r="A1689" s="18">
        <v>1966</v>
      </c>
      <c r="B1689" s="18" t="s">
        <v>102</v>
      </c>
      <c r="C1689" s="18">
        <v>0</v>
      </c>
      <c r="D1689" s="18">
        <v>0</v>
      </c>
      <c r="E1689" s="18">
        <v>0</v>
      </c>
    </row>
    <row r="1690" spans="1:5" x14ac:dyDescent="0.25">
      <c r="A1690" s="18">
        <v>1967</v>
      </c>
      <c r="B1690" s="18" t="s">
        <v>102</v>
      </c>
      <c r="C1690" s="18">
        <v>0</v>
      </c>
      <c r="D1690" s="18">
        <v>0</v>
      </c>
      <c r="E1690" s="18">
        <v>0</v>
      </c>
    </row>
    <row r="1691" spans="1:5" x14ac:dyDescent="0.25">
      <c r="A1691" s="18">
        <v>1968</v>
      </c>
      <c r="B1691" s="18" t="s">
        <v>102</v>
      </c>
      <c r="C1691" s="18">
        <v>0</v>
      </c>
      <c r="D1691" s="18">
        <v>0</v>
      </c>
      <c r="E1691" s="18">
        <v>0</v>
      </c>
    </row>
    <row r="1692" spans="1:5" x14ac:dyDescent="0.25">
      <c r="A1692" s="18">
        <v>1969</v>
      </c>
      <c r="B1692" s="18" t="s">
        <v>102</v>
      </c>
      <c r="C1692" s="18">
        <v>0</v>
      </c>
      <c r="D1692" s="18">
        <v>0</v>
      </c>
      <c r="E1692" s="18">
        <v>0</v>
      </c>
    </row>
    <row r="1693" spans="1:5" x14ac:dyDescent="0.25">
      <c r="A1693" s="18">
        <v>1970</v>
      </c>
      <c r="B1693" s="18" t="s">
        <v>102</v>
      </c>
      <c r="C1693" s="18">
        <v>0</v>
      </c>
      <c r="D1693" s="18">
        <v>0</v>
      </c>
      <c r="E1693" s="18">
        <v>0</v>
      </c>
    </row>
    <row r="1694" spans="1:5" x14ac:dyDescent="0.25">
      <c r="A1694" s="18">
        <v>1971</v>
      </c>
      <c r="B1694" s="18" t="s">
        <v>102</v>
      </c>
      <c r="C1694" s="18">
        <v>0</v>
      </c>
      <c r="D1694" s="18">
        <v>0</v>
      </c>
      <c r="E1694" s="18">
        <v>0</v>
      </c>
    </row>
    <row r="1695" spans="1:5" x14ac:dyDescent="0.25">
      <c r="A1695" s="18">
        <v>1972</v>
      </c>
      <c r="B1695" s="18" t="s">
        <v>102</v>
      </c>
      <c r="C1695" s="18">
        <v>0</v>
      </c>
      <c r="D1695" s="18">
        <v>0</v>
      </c>
      <c r="E1695" s="18">
        <v>0</v>
      </c>
    </row>
    <row r="1696" spans="1:5" x14ac:dyDescent="0.25">
      <c r="A1696" s="18">
        <v>1973</v>
      </c>
      <c r="B1696" s="18" t="s">
        <v>102</v>
      </c>
      <c r="C1696" s="18">
        <v>0</v>
      </c>
      <c r="D1696" s="18">
        <v>0</v>
      </c>
      <c r="E1696" s="18">
        <v>0</v>
      </c>
    </row>
    <row r="1697" spans="1:5" x14ac:dyDescent="0.25">
      <c r="A1697" s="18">
        <v>1974</v>
      </c>
      <c r="B1697" s="18" t="s">
        <v>102</v>
      </c>
      <c r="C1697" s="18">
        <v>0</v>
      </c>
      <c r="D1697" s="18">
        <v>0</v>
      </c>
      <c r="E1697" s="18">
        <v>0</v>
      </c>
    </row>
    <row r="1698" spans="1:5" x14ac:dyDescent="0.25">
      <c r="A1698" s="18">
        <v>1975</v>
      </c>
      <c r="B1698" s="18" t="s">
        <v>102</v>
      </c>
      <c r="C1698" s="18">
        <v>1546</v>
      </c>
      <c r="D1698" s="18">
        <v>1584</v>
      </c>
      <c r="E1698" s="18">
        <v>3129</v>
      </c>
    </row>
    <row r="1699" spans="1:5" x14ac:dyDescent="0.25">
      <c r="A1699" s="18">
        <v>1976</v>
      </c>
      <c r="B1699" s="18" t="s">
        <v>102</v>
      </c>
      <c r="C1699" s="18">
        <v>0</v>
      </c>
      <c r="D1699" s="18">
        <v>0</v>
      </c>
      <c r="E1699" s="18">
        <v>0</v>
      </c>
    </row>
    <row r="1700" spans="1:5" x14ac:dyDescent="0.25">
      <c r="A1700" s="18">
        <v>1977</v>
      </c>
      <c r="B1700" s="18" t="s">
        <v>102</v>
      </c>
      <c r="C1700" s="18">
        <v>0</v>
      </c>
      <c r="D1700" s="18">
        <v>0</v>
      </c>
      <c r="E1700" s="18">
        <v>0</v>
      </c>
    </row>
    <row r="1701" spans="1:5" x14ac:dyDescent="0.25">
      <c r="A1701" s="18">
        <v>1978</v>
      </c>
      <c r="B1701" s="18" t="s">
        <v>102</v>
      </c>
      <c r="C1701" s="18">
        <v>0</v>
      </c>
      <c r="D1701" s="18">
        <v>0</v>
      </c>
      <c r="E1701" s="18">
        <v>0</v>
      </c>
    </row>
    <row r="1702" spans="1:5" x14ac:dyDescent="0.25">
      <c r="A1702" s="18">
        <v>1979</v>
      </c>
      <c r="B1702" s="18" t="s">
        <v>102</v>
      </c>
      <c r="C1702" s="18">
        <v>0</v>
      </c>
      <c r="D1702" s="18">
        <v>0</v>
      </c>
      <c r="E1702" s="18">
        <v>0</v>
      </c>
    </row>
    <row r="1703" spans="1:5" x14ac:dyDescent="0.25">
      <c r="A1703" s="18">
        <v>1980</v>
      </c>
      <c r="B1703" s="18" t="s">
        <v>102</v>
      </c>
      <c r="C1703" s="18">
        <v>1775</v>
      </c>
      <c r="D1703" s="18">
        <v>1837</v>
      </c>
      <c r="E1703" s="18">
        <v>3610</v>
      </c>
    </row>
    <row r="1704" spans="1:5" x14ac:dyDescent="0.25">
      <c r="A1704" s="18">
        <v>1981</v>
      </c>
      <c r="B1704" s="18" t="s">
        <v>102</v>
      </c>
      <c r="C1704" s="18">
        <v>0</v>
      </c>
      <c r="D1704" s="18">
        <v>0</v>
      </c>
      <c r="E1704" s="18">
        <v>0</v>
      </c>
    </row>
    <row r="1705" spans="1:5" x14ac:dyDescent="0.25">
      <c r="A1705" s="18">
        <v>1982</v>
      </c>
      <c r="B1705" s="18" t="s">
        <v>102</v>
      </c>
      <c r="C1705" s="18">
        <v>0</v>
      </c>
      <c r="D1705" s="18">
        <v>0</v>
      </c>
      <c r="E1705" s="18">
        <v>0</v>
      </c>
    </row>
    <row r="1706" spans="1:5" x14ac:dyDescent="0.25">
      <c r="A1706" s="18">
        <v>1983</v>
      </c>
      <c r="B1706" s="18" t="s">
        <v>102</v>
      </c>
      <c r="C1706" s="18">
        <v>0</v>
      </c>
      <c r="D1706" s="18">
        <v>0</v>
      </c>
      <c r="E1706" s="18">
        <v>0</v>
      </c>
    </row>
    <row r="1707" spans="1:5" x14ac:dyDescent="0.25">
      <c r="A1707" s="18">
        <v>1984</v>
      </c>
      <c r="B1707" s="18" t="s">
        <v>102</v>
      </c>
      <c r="C1707" s="18">
        <v>0</v>
      </c>
      <c r="D1707" s="18">
        <v>0</v>
      </c>
      <c r="E1707" s="18">
        <v>0</v>
      </c>
    </row>
    <row r="1708" spans="1:5" x14ac:dyDescent="0.25">
      <c r="A1708" s="18">
        <v>1985</v>
      </c>
      <c r="B1708" s="18" t="s">
        <v>102</v>
      </c>
      <c r="C1708" s="18">
        <v>1786</v>
      </c>
      <c r="D1708" s="18">
        <v>1701</v>
      </c>
      <c r="E1708" s="18">
        <v>3485</v>
      </c>
    </row>
    <row r="1709" spans="1:5" x14ac:dyDescent="0.25">
      <c r="A1709" s="18">
        <v>1986</v>
      </c>
      <c r="B1709" s="18" t="s">
        <v>102</v>
      </c>
      <c r="C1709" s="18">
        <v>0</v>
      </c>
      <c r="D1709" s="18">
        <v>0</v>
      </c>
      <c r="E1709" s="18">
        <v>0</v>
      </c>
    </row>
    <row r="1710" spans="1:5" x14ac:dyDescent="0.25">
      <c r="A1710" s="18">
        <v>1987</v>
      </c>
      <c r="B1710" s="18" t="s">
        <v>102</v>
      </c>
      <c r="C1710" s="18">
        <v>0</v>
      </c>
      <c r="D1710" s="18">
        <v>0</v>
      </c>
      <c r="E1710" s="18">
        <v>0</v>
      </c>
    </row>
    <row r="1711" spans="1:5" x14ac:dyDescent="0.25">
      <c r="A1711" s="18">
        <v>1988</v>
      </c>
      <c r="B1711" s="18" t="s">
        <v>102</v>
      </c>
      <c r="C1711" s="18">
        <v>0</v>
      </c>
      <c r="D1711" s="18">
        <v>0</v>
      </c>
      <c r="E1711" s="18">
        <v>0</v>
      </c>
    </row>
    <row r="1712" spans="1:5" x14ac:dyDescent="0.25">
      <c r="A1712" s="18">
        <v>1989</v>
      </c>
      <c r="B1712" s="18" t="s">
        <v>102</v>
      </c>
      <c r="C1712" s="18">
        <v>0</v>
      </c>
      <c r="D1712" s="18">
        <v>0</v>
      </c>
      <c r="E1712" s="18">
        <v>0</v>
      </c>
    </row>
    <row r="1713" spans="1:5" x14ac:dyDescent="0.25">
      <c r="A1713" s="18">
        <v>1990</v>
      </c>
      <c r="B1713" s="18" t="s">
        <v>102</v>
      </c>
      <c r="C1713" s="18">
        <v>2062</v>
      </c>
      <c r="D1713" s="18">
        <v>2060</v>
      </c>
      <c r="E1713" s="18">
        <v>4121</v>
      </c>
    </row>
    <row r="1714" spans="1:5" x14ac:dyDescent="0.25">
      <c r="A1714" s="18">
        <v>1991</v>
      </c>
      <c r="B1714" s="18" t="s">
        <v>102</v>
      </c>
      <c r="C1714" s="18">
        <v>0</v>
      </c>
      <c r="D1714" s="18">
        <v>0</v>
      </c>
      <c r="E1714" s="18">
        <v>0</v>
      </c>
    </row>
    <row r="1715" spans="1:5" x14ac:dyDescent="0.25">
      <c r="A1715" s="18">
        <v>1992</v>
      </c>
      <c r="B1715" s="18" t="s">
        <v>102</v>
      </c>
      <c r="C1715" s="18">
        <v>0</v>
      </c>
      <c r="D1715" s="18">
        <v>0</v>
      </c>
      <c r="E1715" s="18">
        <v>0</v>
      </c>
    </row>
    <row r="1716" spans="1:5" x14ac:dyDescent="0.25">
      <c r="A1716" s="18">
        <v>1993</v>
      </c>
      <c r="B1716" s="18" t="s">
        <v>102</v>
      </c>
      <c r="C1716" s="18">
        <v>0</v>
      </c>
      <c r="D1716" s="18">
        <v>0</v>
      </c>
      <c r="E1716" s="18">
        <v>0</v>
      </c>
    </row>
    <row r="1717" spans="1:5" x14ac:dyDescent="0.25">
      <c r="A1717" s="18">
        <v>1994</v>
      </c>
      <c r="B1717" s="18" t="s">
        <v>102</v>
      </c>
      <c r="C1717" s="18">
        <v>0</v>
      </c>
      <c r="D1717" s="18">
        <v>0</v>
      </c>
      <c r="E1717" s="18">
        <v>0</v>
      </c>
    </row>
    <row r="1718" spans="1:5" x14ac:dyDescent="0.25">
      <c r="A1718" s="18">
        <v>1995</v>
      </c>
      <c r="B1718" s="18" t="s">
        <v>102</v>
      </c>
      <c r="C1718" s="18">
        <v>0</v>
      </c>
      <c r="D1718" s="18">
        <v>0</v>
      </c>
      <c r="E1718" s="18">
        <v>0</v>
      </c>
    </row>
    <row r="1719" spans="1:5" x14ac:dyDescent="0.25">
      <c r="A1719" s="18">
        <v>1996</v>
      </c>
      <c r="B1719" s="18" t="s">
        <v>102</v>
      </c>
      <c r="C1719" s="18">
        <v>0</v>
      </c>
      <c r="D1719" s="18">
        <v>0</v>
      </c>
      <c r="E1719" s="18">
        <v>0</v>
      </c>
    </row>
    <row r="1720" spans="1:5" x14ac:dyDescent="0.25">
      <c r="A1720" s="18">
        <v>1997</v>
      </c>
      <c r="B1720" s="18" t="s">
        <v>102</v>
      </c>
      <c r="C1720" s="18">
        <v>0</v>
      </c>
      <c r="D1720" s="18">
        <v>0</v>
      </c>
      <c r="E1720" s="18">
        <v>0</v>
      </c>
    </row>
    <row r="1721" spans="1:5" x14ac:dyDescent="0.25">
      <c r="A1721" s="18">
        <v>1998</v>
      </c>
      <c r="B1721" s="18" t="s">
        <v>102</v>
      </c>
      <c r="C1721" s="18">
        <v>0</v>
      </c>
      <c r="D1721" s="18">
        <v>0</v>
      </c>
      <c r="E1721" s="18">
        <v>0</v>
      </c>
    </row>
    <row r="1722" spans="1:5" x14ac:dyDescent="0.25">
      <c r="A1722" s="18">
        <v>1999</v>
      </c>
      <c r="B1722" s="18" t="s">
        <v>102</v>
      </c>
      <c r="C1722" s="18">
        <v>0</v>
      </c>
      <c r="D1722" s="18">
        <v>0</v>
      </c>
      <c r="E1722" s="18">
        <v>0</v>
      </c>
    </row>
    <row r="1723" spans="1:5" x14ac:dyDescent="0.25">
      <c r="A1723" s="18">
        <v>2000</v>
      </c>
      <c r="B1723" s="18" t="s">
        <v>102</v>
      </c>
      <c r="C1723" s="18">
        <v>2375</v>
      </c>
      <c r="D1723" s="18">
        <v>2462</v>
      </c>
      <c r="E1723" s="18">
        <v>4837</v>
      </c>
    </row>
    <row r="1724" spans="1:5" x14ac:dyDescent="0.25">
      <c r="A1724" s="18">
        <v>2001</v>
      </c>
      <c r="B1724" s="18" t="s">
        <v>102</v>
      </c>
      <c r="C1724" s="18">
        <v>0</v>
      </c>
      <c r="D1724" s="18">
        <v>0</v>
      </c>
      <c r="E1724" s="18">
        <v>0</v>
      </c>
    </row>
    <row r="1725" spans="1:5" x14ac:dyDescent="0.25">
      <c r="A1725" s="18">
        <v>2002</v>
      </c>
      <c r="B1725" s="18" t="s">
        <v>102</v>
      </c>
      <c r="C1725" s="18">
        <v>0</v>
      </c>
      <c r="D1725" s="18">
        <v>0</v>
      </c>
      <c r="E1725" s="18">
        <v>0</v>
      </c>
    </row>
    <row r="1726" spans="1:5" x14ac:dyDescent="0.25">
      <c r="A1726" s="18">
        <v>2003</v>
      </c>
      <c r="B1726" s="18" t="s">
        <v>102</v>
      </c>
      <c r="C1726" s="18">
        <v>0</v>
      </c>
      <c r="D1726" s="18">
        <v>0</v>
      </c>
      <c r="E1726" s="18">
        <v>0</v>
      </c>
    </row>
    <row r="1727" spans="1:5" x14ac:dyDescent="0.25">
      <c r="A1727" s="18">
        <v>2004</v>
      </c>
      <c r="B1727" s="18" t="s">
        <v>102</v>
      </c>
      <c r="C1727" s="18">
        <v>0</v>
      </c>
      <c r="D1727" s="18">
        <v>0</v>
      </c>
      <c r="E1727" s="18">
        <v>0</v>
      </c>
    </row>
    <row r="1728" spans="1:5" x14ac:dyDescent="0.25">
      <c r="A1728" s="18">
        <v>2005</v>
      </c>
      <c r="B1728" s="18" t="s">
        <v>102</v>
      </c>
      <c r="C1728" s="18">
        <v>0</v>
      </c>
      <c r="D1728" s="18">
        <v>0</v>
      </c>
      <c r="E1728" s="18">
        <v>0</v>
      </c>
    </row>
    <row r="1729" spans="1:5" x14ac:dyDescent="0.25">
      <c r="A1729" s="18">
        <v>2006</v>
      </c>
      <c r="B1729" s="18" t="s">
        <v>102</v>
      </c>
      <c r="C1729" s="18">
        <v>0</v>
      </c>
      <c r="D1729" s="18">
        <v>0</v>
      </c>
      <c r="E1729" s="18">
        <v>0</v>
      </c>
    </row>
    <row r="1730" spans="1:5" x14ac:dyDescent="0.25">
      <c r="A1730" s="18">
        <v>2007</v>
      </c>
      <c r="B1730" s="18" t="s">
        <v>102</v>
      </c>
      <c r="C1730" s="18">
        <v>0</v>
      </c>
      <c r="D1730" s="18">
        <v>0</v>
      </c>
      <c r="E1730" s="18">
        <v>0</v>
      </c>
    </row>
    <row r="1731" spans="1:5" x14ac:dyDescent="0.25">
      <c r="A1731" s="18">
        <v>2008</v>
      </c>
      <c r="B1731" s="18" t="s">
        <v>102</v>
      </c>
      <c r="C1731" s="18">
        <v>0</v>
      </c>
      <c r="D1731" s="18">
        <v>0</v>
      </c>
      <c r="E1731" s="18">
        <v>0</v>
      </c>
    </row>
    <row r="1732" spans="1:5" x14ac:dyDescent="0.25">
      <c r="A1732" s="18">
        <v>1950</v>
      </c>
      <c r="B1732" s="18" t="s">
        <v>64</v>
      </c>
      <c r="C1732" s="18">
        <v>0</v>
      </c>
      <c r="D1732" s="18">
        <v>0</v>
      </c>
      <c r="E1732" s="18">
        <v>0</v>
      </c>
    </row>
    <row r="1733" spans="1:5" x14ac:dyDescent="0.25">
      <c r="A1733" s="18">
        <v>1951</v>
      </c>
      <c r="B1733" s="18" t="s">
        <v>64</v>
      </c>
      <c r="C1733" s="18">
        <v>0</v>
      </c>
      <c r="D1733" s="18">
        <v>0</v>
      </c>
      <c r="E1733" s="18">
        <v>0</v>
      </c>
    </row>
    <row r="1734" spans="1:5" x14ac:dyDescent="0.25">
      <c r="A1734" s="18">
        <v>1952</v>
      </c>
      <c r="B1734" s="18" t="s">
        <v>64</v>
      </c>
      <c r="C1734" s="18">
        <v>0</v>
      </c>
      <c r="D1734" s="18">
        <v>0</v>
      </c>
      <c r="E1734" s="18">
        <v>0</v>
      </c>
    </row>
    <row r="1735" spans="1:5" x14ac:dyDescent="0.25">
      <c r="A1735" s="18">
        <v>1953</v>
      </c>
      <c r="B1735" s="18" t="s">
        <v>64</v>
      </c>
      <c r="C1735" s="18">
        <v>0</v>
      </c>
      <c r="D1735" s="18">
        <v>0</v>
      </c>
      <c r="E1735" s="18">
        <v>0</v>
      </c>
    </row>
    <row r="1736" spans="1:5" x14ac:dyDescent="0.25">
      <c r="A1736" s="18">
        <v>1954</v>
      </c>
      <c r="B1736" s="18" t="s">
        <v>64</v>
      </c>
      <c r="C1736" s="18">
        <v>0</v>
      </c>
      <c r="D1736" s="18">
        <v>0</v>
      </c>
      <c r="E1736" s="18">
        <v>0</v>
      </c>
    </row>
    <row r="1737" spans="1:5" x14ac:dyDescent="0.25">
      <c r="A1737" s="18">
        <v>1955</v>
      </c>
      <c r="B1737" s="18" t="s">
        <v>64</v>
      </c>
      <c r="C1737" s="18">
        <v>0</v>
      </c>
      <c r="D1737" s="18">
        <v>0</v>
      </c>
      <c r="E1737" s="18">
        <v>0</v>
      </c>
    </row>
    <row r="1738" spans="1:5" x14ac:dyDescent="0.25">
      <c r="A1738" s="18">
        <v>1956</v>
      </c>
      <c r="B1738" s="18" t="s">
        <v>64</v>
      </c>
      <c r="C1738" s="18">
        <v>0</v>
      </c>
      <c r="D1738" s="18">
        <v>0</v>
      </c>
      <c r="E1738" s="18">
        <v>0</v>
      </c>
    </row>
    <row r="1739" spans="1:5" x14ac:dyDescent="0.25">
      <c r="A1739" s="18">
        <v>1957</v>
      </c>
      <c r="B1739" s="18" t="s">
        <v>64</v>
      </c>
      <c r="C1739" s="18">
        <v>0</v>
      </c>
      <c r="D1739" s="18">
        <v>0</v>
      </c>
      <c r="E1739" s="18">
        <v>0</v>
      </c>
    </row>
    <row r="1740" spans="1:5" x14ac:dyDescent="0.25">
      <c r="A1740" s="18">
        <v>1958</v>
      </c>
      <c r="B1740" s="18" t="s">
        <v>64</v>
      </c>
      <c r="C1740" s="18">
        <v>0</v>
      </c>
      <c r="D1740" s="18">
        <v>0</v>
      </c>
      <c r="E1740" s="18">
        <v>0</v>
      </c>
    </row>
    <row r="1741" spans="1:5" x14ac:dyDescent="0.25">
      <c r="A1741" s="18">
        <v>1959</v>
      </c>
      <c r="B1741" s="18" t="s">
        <v>64</v>
      </c>
      <c r="C1741" s="18">
        <v>0</v>
      </c>
      <c r="D1741" s="18">
        <v>0</v>
      </c>
      <c r="E1741" s="18">
        <v>0</v>
      </c>
    </row>
    <row r="1742" spans="1:5" x14ac:dyDescent="0.25">
      <c r="A1742" s="18">
        <v>1960</v>
      </c>
      <c r="B1742" s="18" t="s">
        <v>64</v>
      </c>
      <c r="C1742" s="18">
        <v>0</v>
      </c>
      <c r="D1742" s="18">
        <v>0</v>
      </c>
      <c r="E1742" s="18">
        <v>0</v>
      </c>
    </row>
    <row r="1743" spans="1:5" x14ac:dyDescent="0.25">
      <c r="A1743" s="18">
        <v>1961</v>
      </c>
      <c r="B1743" s="18" t="s">
        <v>64</v>
      </c>
      <c r="C1743" s="18">
        <v>0</v>
      </c>
      <c r="D1743" s="18">
        <v>0</v>
      </c>
      <c r="E1743" s="18">
        <v>0</v>
      </c>
    </row>
    <row r="1744" spans="1:5" x14ac:dyDescent="0.25">
      <c r="A1744" s="18">
        <v>1962</v>
      </c>
      <c r="B1744" s="18" t="s">
        <v>64</v>
      </c>
      <c r="C1744" s="18">
        <v>0</v>
      </c>
      <c r="D1744" s="18">
        <v>0</v>
      </c>
      <c r="E1744" s="18">
        <v>0</v>
      </c>
    </row>
    <row r="1745" spans="1:5" x14ac:dyDescent="0.25">
      <c r="A1745" s="18">
        <v>1963</v>
      </c>
      <c r="B1745" s="18" t="s">
        <v>64</v>
      </c>
      <c r="C1745" s="18">
        <v>0</v>
      </c>
      <c r="D1745" s="18">
        <v>0</v>
      </c>
      <c r="E1745" s="18">
        <v>0</v>
      </c>
    </row>
    <row r="1746" spans="1:5" x14ac:dyDescent="0.25">
      <c r="A1746" s="18">
        <v>1964</v>
      </c>
      <c r="B1746" s="18" t="s">
        <v>64</v>
      </c>
      <c r="C1746" s="18">
        <v>0</v>
      </c>
      <c r="D1746" s="18">
        <v>0</v>
      </c>
      <c r="E1746" s="18">
        <v>0</v>
      </c>
    </row>
    <row r="1747" spans="1:5" x14ac:dyDescent="0.25">
      <c r="A1747" s="18">
        <v>1965</v>
      </c>
      <c r="B1747" s="18" t="s">
        <v>64</v>
      </c>
      <c r="C1747" s="18">
        <v>0</v>
      </c>
      <c r="D1747" s="18">
        <v>0</v>
      </c>
      <c r="E1747" s="18">
        <v>0</v>
      </c>
    </row>
    <row r="1748" spans="1:5" x14ac:dyDescent="0.25">
      <c r="A1748" s="18">
        <v>1966</v>
      </c>
      <c r="B1748" s="18" t="s">
        <v>64</v>
      </c>
      <c r="C1748" s="18">
        <v>0</v>
      </c>
      <c r="D1748" s="18">
        <v>0</v>
      </c>
      <c r="E1748" s="18">
        <v>0</v>
      </c>
    </row>
    <row r="1749" spans="1:5" x14ac:dyDescent="0.25">
      <c r="A1749" s="18">
        <v>1967</v>
      </c>
      <c r="B1749" s="18" t="s">
        <v>64</v>
      </c>
      <c r="C1749" s="18">
        <v>0</v>
      </c>
      <c r="D1749" s="18">
        <v>0</v>
      </c>
      <c r="E1749" s="18">
        <v>0</v>
      </c>
    </row>
    <row r="1750" spans="1:5" x14ac:dyDescent="0.25">
      <c r="A1750" s="18">
        <v>1968</v>
      </c>
      <c r="B1750" s="18" t="s">
        <v>64</v>
      </c>
      <c r="C1750" s="18">
        <v>0</v>
      </c>
      <c r="D1750" s="18">
        <v>0</v>
      </c>
      <c r="E1750" s="18">
        <v>0</v>
      </c>
    </row>
    <row r="1751" spans="1:5" x14ac:dyDescent="0.25">
      <c r="A1751" s="18">
        <v>1969</v>
      </c>
      <c r="B1751" s="18" t="s">
        <v>64</v>
      </c>
      <c r="C1751" s="18">
        <v>0</v>
      </c>
      <c r="D1751" s="18">
        <v>0</v>
      </c>
      <c r="E1751" s="18">
        <v>0</v>
      </c>
    </row>
    <row r="1752" spans="1:5" x14ac:dyDescent="0.25">
      <c r="A1752" s="18">
        <v>1970</v>
      </c>
      <c r="B1752" s="18" t="s">
        <v>64</v>
      </c>
      <c r="C1752" s="18">
        <v>2232</v>
      </c>
      <c r="D1752" s="18">
        <v>2189</v>
      </c>
      <c r="E1752" s="18">
        <v>4423</v>
      </c>
    </row>
    <row r="1753" spans="1:5" x14ac:dyDescent="0.25">
      <c r="A1753" s="18">
        <v>1971</v>
      </c>
      <c r="B1753" s="18" t="s">
        <v>64</v>
      </c>
      <c r="C1753" s="18">
        <v>0</v>
      </c>
      <c r="D1753" s="18">
        <v>0</v>
      </c>
      <c r="E1753" s="18">
        <v>0</v>
      </c>
    </row>
    <row r="1754" spans="1:5" x14ac:dyDescent="0.25">
      <c r="A1754" s="18">
        <v>1972</v>
      </c>
      <c r="B1754" s="18" t="s">
        <v>64</v>
      </c>
      <c r="C1754" s="18">
        <v>0</v>
      </c>
      <c r="D1754" s="18">
        <v>0</v>
      </c>
      <c r="E1754" s="18">
        <v>0</v>
      </c>
    </row>
    <row r="1755" spans="1:5" x14ac:dyDescent="0.25">
      <c r="A1755" s="18">
        <v>1973</v>
      </c>
      <c r="B1755" s="18" t="s">
        <v>64</v>
      </c>
      <c r="C1755" s="18">
        <v>0</v>
      </c>
      <c r="D1755" s="18">
        <v>0</v>
      </c>
      <c r="E1755" s="18">
        <v>0</v>
      </c>
    </row>
    <row r="1756" spans="1:5" x14ac:dyDescent="0.25">
      <c r="A1756" s="18">
        <v>1974</v>
      </c>
      <c r="B1756" s="18" t="s">
        <v>64</v>
      </c>
      <c r="C1756" s="18">
        <v>0</v>
      </c>
      <c r="D1756" s="18">
        <v>0</v>
      </c>
      <c r="E1756" s="18">
        <v>0</v>
      </c>
    </row>
    <row r="1757" spans="1:5" x14ac:dyDescent="0.25">
      <c r="A1757" s="18">
        <v>1975</v>
      </c>
      <c r="B1757" s="18" t="s">
        <v>64</v>
      </c>
      <c r="C1757" s="18">
        <v>4698</v>
      </c>
      <c r="D1757" s="18">
        <v>3903</v>
      </c>
      <c r="E1757" s="18">
        <v>8413</v>
      </c>
    </row>
    <row r="1758" spans="1:5" x14ac:dyDescent="0.25">
      <c r="A1758" s="18">
        <v>1976</v>
      </c>
      <c r="B1758" s="18" t="s">
        <v>64</v>
      </c>
      <c r="C1758" s="18">
        <v>0</v>
      </c>
      <c r="D1758" s="18">
        <v>0</v>
      </c>
      <c r="E1758" s="18">
        <v>0</v>
      </c>
    </row>
    <row r="1759" spans="1:5" x14ac:dyDescent="0.25">
      <c r="A1759" s="18">
        <v>1977</v>
      </c>
      <c r="B1759" s="18" t="s">
        <v>64</v>
      </c>
      <c r="C1759" s="18">
        <v>0</v>
      </c>
      <c r="D1759" s="18">
        <v>0</v>
      </c>
      <c r="E1759" s="18">
        <v>0</v>
      </c>
    </row>
    <row r="1760" spans="1:5" x14ac:dyDescent="0.25">
      <c r="A1760" s="18">
        <v>1978</v>
      </c>
      <c r="B1760" s="18" t="s">
        <v>64</v>
      </c>
      <c r="C1760" s="18">
        <v>0</v>
      </c>
      <c r="D1760" s="18">
        <v>0</v>
      </c>
      <c r="E1760" s="18">
        <v>0</v>
      </c>
    </row>
    <row r="1761" spans="1:5" x14ac:dyDescent="0.25">
      <c r="A1761" s="18">
        <v>1979</v>
      </c>
      <c r="B1761" s="18" t="s">
        <v>64</v>
      </c>
      <c r="C1761" s="18">
        <v>0</v>
      </c>
      <c r="D1761" s="18">
        <v>0</v>
      </c>
      <c r="E1761" s="18">
        <v>0</v>
      </c>
    </row>
    <row r="1762" spans="1:5" x14ac:dyDescent="0.25">
      <c r="A1762" s="18">
        <v>1980</v>
      </c>
      <c r="B1762" s="18" t="s">
        <v>64</v>
      </c>
      <c r="C1762" s="18">
        <v>2752</v>
      </c>
      <c r="D1762" s="18">
        <v>2928</v>
      </c>
      <c r="E1762" s="18">
        <v>5680</v>
      </c>
    </row>
    <row r="1763" spans="1:5" x14ac:dyDescent="0.25">
      <c r="A1763" s="18">
        <v>1981</v>
      </c>
      <c r="B1763" s="18" t="s">
        <v>64</v>
      </c>
      <c r="C1763" s="18">
        <v>0</v>
      </c>
      <c r="D1763" s="18">
        <v>0</v>
      </c>
      <c r="E1763" s="18">
        <v>0</v>
      </c>
    </row>
    <row r="1764" spans="1:5" x14ac:dyDescent="0.25">
      <c r="A1764" s="18">
        <v>1982</v>
      </c>
      <c r="B1764" s="18" t="s">
        <v>64</v>
      </c>
      <c r="C1764" s="18">
        <v>0</v>
      </c>
      <c r="D1764" s="18">
        <v>0</v>
      </c>
      <c r="E1764" s="18">
        <v>0</v>
      </c>
    </row>
    <row r="1765" spans="1:5" x14ac:dyDescent="0.25">
      <c r="A1765" s="18">
        <v>1983</v>
      </c>
      <c r="B1765" s="18" t="s">
        <v>64</v>
      </c>
      <c r="C1765" s="18">
        <v>0</v>
      </c>
      <c r="D1765" s="18">
        <v>0</v>
      </c>
      <c r="E1765" s="18">
        <v>0</v>
      </c>
    </row>
    <row r="1766" spans="1:5" x14ac:dyDescent="0.25">
      <c r="A1766" s="18">
        <v>1984</v>
      </c>
      <c r="B1766" s="18" t="s">
        <v>64</v>
      </c>
      <c r="C1766" s="18">
        <v>0</v>
      </c>
      <c r="D1766" s="18">
        <v>0</v>
      </c>
      <c r="E1766" s="18">
        <v>0</v>
      </c>
    </row>
    <row r="1767" spans="1:5" x14ac:dyDescent="0.25">
      <c r="A1767" s="18">
        <v>1985</v>
      </c>
      <c r="B1767" s="18" t="s">
        <v>64</v>
      </c>
      <c r="C1767" s="18">
        <v>3287</v>
      </c>
      <c r="D1767" s="18">
        <v>3473</v>
      </c>
      <c r="E1767" s="18">
        <v>6760</v>
      </c>
    </row>
    <row r="1768" spans="1:5" x14ac:dyDescent="0.25">
      <c r="A1768" s="18">
        <v>1986</v>
      </c>
      <c r="B1768" s="18" t="s">
        <v>64</v>
      </c>
      <c r="C1768" s="18">
        <v>0</v>
      </c>
      <c r="D1768" s="18">
        <v>0</v>
      </c>
      <c r="E1768" s="18">
        <v>0</v>
      </c>
    </row>
    <row r="1769" spans="1:5" x14ac:dyDescent="0.25">
      <c r="A1769" s="18">
        <v>1987</v>
      </c>
      <c r="B1769" s="18" t="s">
        <v>64</v>
      </c>
      <c r="C1769" s="18">
        <v>0</v>
      </c>
      <c r="D1769" s="18">
        <v>0</v>
      </c>
      <c r="E1769" s="18">
        <v>0</v>
      </c>
    </row>
    <row r="1770" spans="1:5" x14ac:dyDescent="0.25">
      <c r="A1770" s="18">
        <v>1988</v>
      </c>
      <c r="B1770" s="18" t="s">
        <v>64</v>
      </c>
      <c r="C1770" s="18">
        <v>0</v>
      </c>
      <c r="D1770" s="18">
        <v>0</v>
      </c>
      <c r="E1770" s="18">
        <v>0</v>
      </c>
    </row>
    <row r="1771" spans="1:5" x14ac:dyDescent="0.25">
      <c r="A1771" s="18">
        <v>1989</v>
      </c>
      <c r="B1771" s="18" t="s">
        <v>64</v>
      </c>
      <c r="C1771" s="18">
        <v>0</v>
      </c>
      <c r="D1771" s="18">
        <v>0</v>
      </c>
      <c r="E1771" s="18">
        <v>0</v>
      </c>
    </row>
    <row r="1772" spans="1:5" x14ac:dyDescent="0.25">
      <c r="A1772" s="18">
        <v>1990</v>
      </c>
      <c r="B1772" s="18" t="s">
        <v>64</v>
      </c>
      <c r="C1772" s="18">
        <v>3459</v>
      </c>
      <c r="D1772" s="18">
        <v>3716</v>
      </c>
      <c r="E1772" s="18">
        <v>7175</v>
      </c>
    </row>
    <row r="1773" spans="1:5" x14ac:dyDescent="0.25">
      <c r="A1773" s="18">
        <v>1991</v>
      </c>
      <c r="B1773" s="18" t="s">
        <v>64</v>
      </c>
      <c r="C1773" s="18">
        <v>0</v>
      </c>
      <c r="D1773" s="18">
        <v>0</v>
      </c>
      <c r="E1773" s="18">
        <v>0</v>
      </c>
    </row>
    <row r="1774" spans="1:5" x14ac:dyDescent="0.25">
      <c r="A1774" s="18">
        <v>1992</v>
      </c>
      <c r="B1774" s="18" t="s">
        <v>64</v>
      </c>
      <c r="C1774" s="18">
        <v>0</v>
      </c>
      <c r="D1774" s="18">
        <v>0</v>
      </c>
      <c r="E1774" s="18">
        <v>0</v>
      </c>
    </row>
    <row r="1775" spans="1:5" x14ac:dyDescent="0.25">
      <c r="A1775" s="18">
        <v>1993</v>
      </c>
      <c r="B1775" s="18" t="s">
        <v>64</v>
      </c>
      <c r="C1775" s="18">
        <v>0</v>
      </c>
      <c r="D1775" s="18">
        <v>0</v>
      </c>
      <c r="E1775" s="18">
        <v>0</v>
      </c>
    </row>
    <row r="1776" spans="1:5" x14ac:dyDescent="0.25">
      <c r="A1776" s="18">
        <v>1994</v>
      </c>
      <c r="B1776" s="18" t="s">
        <v>64</v>
      </c>
      <c r="C1776" s="18">
        <v>0</v>
      </c>
      <c r="D1776" s="18">
        <v>0</v>
      </c>
      <c r="E1776" s="18">
        <v>0</v>
      </c>
    </row>
    <row r="1777" spans="1:5" x14ac:dyDescent="0.25">
      <c r="A1777" s="18">
        <v>1995</v>
      </c>
      <c r="B1777" s="18" t="s">
        <v>64</v>
      </c>
      <c r="C1777" s="18">
        <v>0</v>
      </c>
      <c r="D1777" s="18">
        <v>0</v>
      </c>
      <c r="E1777" s="18">
        <v>0</v>
      </c>
    </row>
    <row r="1778" spans="1:5" x14ac:dyDescent="0.25">
      <c r="A1778" s="18">
        <v>1996</v>
      </c>
      <c r="B1778" s="18" t="s">
        <v>64</v>
      </c>
      <c r="C1778" s="18">
        <v>0</v>
      </c>
      <c r="D1778" s="18">
        <v>0</v>
      </c>
      <c r="E1778" s="18">
        <v>0</v>
      </c>
    </row>
    <row r="1779" spans="1:5" x14ac:dyDescent="0.25">
      <c r="A1779" s="18">
        <v>1997</v>
      </c>
      <c r="B1779" s="18" t="s">
        <v>64</v>
      </c>
      <c r="C1779" s="18">
        <v>0</v>
      </c>
      <c r="D1779" s="18">
        <v>0</v>
      </c>
      <c r="E1779" s="18">
        <v>0</v>
      </c>
    </row>
    <row r="1780" spans="1:5" x14ac:dyDescent="0.25">
      <c r="A1780" s="18">
        <v>1998</v>
      </c>
      <c r="B1780" s="18" t="s">
        <v>64</v>
      </c>
      <c r="C1780" s="18">
        <v>0</v>
      </c>
      <c r="D1780" s="18">
        <v>0</v>
      </c>
      <c r="E1780" s="18">
        <v>0</v>
      </c>
    </row>
    <row r="1781" spans="1:5" x14ac:dyDescent="0.25">
      <c r="A1781" s="18">
        <v>1999</v>
      </c>
      <c r="B1781" s="18" t="s">
        <v>64</v>
      </c>
      <c r="C1781" s="18">
        <v>0</v>
      </c>
      <c r="D1781" s="18">
        <v>0</v>
      </c>
      <c r="E1781" s="18">
        <v>0</v>
      </c>
    </row>
    <row r="1782" spans="1:5" x14ac:dyDescent="0.25">
      <c r="A1782" s="18">
        <v>2000</v>
      </c>
      <c r="B1782" s="18" t="s">
        <v>64</v>
      </c>
      <c r="C1782" s="18">
        <v>4055</v>
      </c>
      <c r="D1782" s="18">
        <v>4316</v>
      </c>
      <c r="E1782" s="18">
        <v>8372</v>
      </c>
    </row>
    <row r="1783" spans="1:5" x14ac:dyDescent="0.25">
      <c r="A1783" s="18">
        <v>2001</v>
      </c>
      <c r="B1783" s="18" t="s">
        <v>64</v>
      </c>
      <c r="C1783" s="18">
        <v>0</v>
      </c>
      <c r="D1783" s="18">
        <v>0</v>
      </c>
      <c r="E1783" s="18">
        <v>0</v>
      </c>
    </row>
    <row r="1784" spans="1:5" x14ac:dyDescent="0.25">
      <c r="A1784" s="18">
        <v>2002</v>
      </c>
      <c r="B1784" s="18" t="s">
        <v>64</v>
      </c>
      <c r="C1784" s="18">
        <v>0</v>
      </c>
      <c r="D1784" s="18">
        <v>0</v>
      </c>
      <c r="E1784" s="18">
        <v>0</v>
      </c>
    </row>
    <row r="1785" spans="1:5" x14ac:dyDescent="0.25">
      <c r="A1785" s="18">
        <v>2003</v>
      </c>
      <c r="B1785" s="18" t="s">
        <v>64</v>
      </c>
      <c r="C1785" s="18">
        <v>0</v>
      </c>
      <c r="D1785" s="18">
        <v>0</v>
      </c>
      <c r="E1785" s="18">
        <v>0</v>
      </c>
    </row>
    <row r="1786" spans="1:5" x14ac:dyDescent="0.25">
      <c r="A1786" s="18">
        <v>2004</v>
      </c>
      <c r="B1786" s="18" t="s">
        <v>64</v>
      </c>
      <c r="C1786" s="18">
        <v>0</v>
      </c>
      <c r="D1786" s="18">
        <v>0</v>
      </c>
      <c r="E1786" s="18">
        <v>0</v>
      </c>
    </row>
    <row r="1787" spans="1:5" x14ac:dyDescent="0.25">
      <c r="A1787" s="18">
        <v>2005</v>
      </c>
      <c r="B1787" s="18" t="s">
        <v>64</v>
      </c>
      <c r="C1787" s="18">
        <v>0</v>
      </c>
      <c r="D1787" s="18">
        <v>0</v>
      </c>
      <c r="E1787" s="18">
        <v>0</v>
      </c>
    </row>
    <row r="1788" spans="1:5" x14ac:dyDescent="0.25">
      <c r="A1788" s="18">
        <v>2006</v>
      </c>
      <c r="B1788" s="18" t="s">
        <v>64</v>
      </c>
      <c r="C1788" s="18">
        <v>0</v>
      </c>
      <c r="D1788" s="18">
        <v>0</v>
      </c>
      <c r="E1788" s="18">
        <v>0</v>
      </c>
    </row>
    <row r="1789" spans="1:5" x14ac:dyDescent="0.25">
      <c r="A1789" s="18">
        <v>2007</v>
      </c>
      <c r="B1789" s="18" t="s">
        <v>64</v>
      </c>
      <c r="C1789" s="18">
        <v>0</v>
      </c>
      <c r="D1789" s="18">
        <v>0</v>
      </c>
      <c r="E1789" s="18">
        <v>0</v>
      </c>
    </row>
    <row r="1790" spans="1:5" x14ac:dyDescent="0.25">
      <c r="A1790" s="18">
        <v>2008</v>
      </c>
      <c r="B1790" s="18" t="s">
        <v>64</v>
      </c>
      <c r="C1790" s="18">
        <v>0</v>
      </c>
      <c r="D1790" s="18">
        <v>0</v>
      </c>
      <c r="E1790" s="18">
        <v>0</v>
      </c>
    </row>
    <row r="1791" spans="1:5" x14ac:dyDescent="0.25">
      <c r="A1791" s="18">
        <v>1950</v>
      </c>
      <c r="B1791" s="18" t="s">
        <v>65</v>
      </c>
      <c r="C1791" s="18">
        <v>0</v>
      </c>
      <c r="D1791" s="18">
        <v>0</v>
      </c>
      <c r="E1791" s="18">
        <v>0</v>
      </c>
    </row>
    <row r="1792" spans="1:5" x14ac:dyDescent="0.25">
      <c r="A1792" s="18">
        <v>1951</v>
      </c>
      <c r="B1792" s="18" t="s">
        <v>65</v>
      </c>
      <c r="C1792" s="18">
        <v>0</v>
      </c>
      <c r="D1792" s="18">
        <v>0</v>
      </c>
      <c r="E1792" s="18">
        <v>0</v>
      </c>
    </row>
    <row r="1793" spans="1:5" x14ac:dyDescent="0.25">
      <c r="A1793" s="18">
        <v>1952</v>
      </c>
      <c r="B1793" s="18" t="s">
        <v>65</v>
      </c>
      <c r="C1793" s="18">
        <v>0</v>
      </c>
      <c r="D1793" s="18">
        <v>0</v>
      </c>
      <c r="E1793" s="18">
        <v>0</v>
      </c>
    </row>
    <row r="1794" spans="1:5" x14ac:dyDescent="0.25">
      <c r="A1794" s="18">
        <v>1953</v>
      </c>
      <c r="B1794" s="18" t="s">
        <v>65</v>
      </c>
      <c r="C1794" s="18">
        <v>0</v>
      </c>
      <c r="D1794" s="18">
        <v>0</v>
      </c>
      <c r="E1794" s="18">
        <v>0</v>
      </c>
    </row>
    <row r="1795" spans="1:5" x14ac:dyDescent="0.25">
      <c r="A1795" s="18">
        <v>1954</v>
      </c>
      <c r="B1795" s="18" t="s">
        <v>65</v>
      </c>
      <c r="C1795" s="18">
        <v>0</v>
      </c>
      <c r="D1795" s="18">
        <v>0</v>
      </c>
      <c r="E1795" s="18">
        <v>0</v>
      </c>
    </row>
    <row r="1796" spans="1:5" x14ac:dyDescent="0.25">
      <c r="A1796" s="18">
        <v>1955</v>
      </c>
      <c r="B1796" s="18" t="s">
        <v>65</v>
      </c>
      <c r="C1796" s="18">
        <v>0</v>
      </c>
      <c r="D1796" s="18">
        <v>0</v>
      </c>
      <c r="E1796" s="18">
        <v>0</v>
      </c>
    </row>
    <row r="1797" spans="1:5" x14ac:dyDescent="0.25">
      <c r="A1797" s="18">
        <v>1956</v>
      </c>
      <c r="B1797" s="18" t="s">
        <v>65</v>
      </c>
      <c r="C1797" s="18">
        <v>0</v>
      </c>
      <c r="D1797" s="18">
        <v>0</v>
      </c>
      <c r="E1797" s="18">
        <v>0</v>
      </c>
    </row>
    <row r="1798" spans="1:5" x14ac:dyDescent="0.25">
      <c r="A1798" s="18">
        <v>1957</v>
      </c>
      <c r="B1798" s="18" t="s">
        <v>65</v>
      </c>
      <c r="C1798" s="18">
        <v>0</v>
      </c>
      <c r="D1798" s="18">
        <v>0</v>
      </c>
      <c r="E1798" s="18">
        <v>0</v>
      </c>
    </row>
    <row r="1799" spans="1:5" x14ac:dyDescent="0.25">
      <c r="A1799" s="18">
        <v>1958</v>
      </c>
      <c r="B1799" s="18" t="s">
        <v>65</v>
      </c>
      <c r="C1799" s="18">
        <v>0</v>
      </c>
      <c r="D1799" s="18">
        <v>0</v>
      </c>
      <c r="E1799" s="18">
        <v>0</v>
      </c>
    </row>
    <row r="1800" spans="1:5" x14ac:dyDescent="0.25">
      <c r="A1800" s="18">
        <v>1959</v>
      </c>
      <c r="B1800" s="18" t="s">
        <v>65</v>
      </c>
      <c r="C1800" s="18">
        <v>0</v>
      </c>
      <c r="D1800" s="18">
        <v>0</v>
      </c>
      <c r="E1800" s="18">
        <v>0</v>
      </c>
    </row>
    <row r="1801" spans="1:5" x14ac:dyDescent="0.25">
      <c r="A1801" s="18">
        <v>1960</v>
      </c>
      <c r="B1801" s="18" t="s">
        <v>65</v>
      </c>
      <c r="C1801" s="18">
        <v>0</v>
      </c>
      <c r="D1801" s="18">
        <v>0</v>
      </c>
      <c r="E1801" s="18">
        <v>0</v>
      </c>
    </row>
    <row r="1802" spans="1:5" x14ac:dyDescent="0.25">
      <c r="A1802" s="18">
        <v>1961</v>
      </c>
      <c r="B1802" s="18" t="s">
        <v>65</v>
      </c>
      <c r="C1802" s="18">
        <v>0</v>
      </c>
      <c r="D1802" s="18">
        <v>0</v>
      </c>
      <c r="E1802" s="18">
        <v>0</v>
      </c>
    </row>
    <row r="1803" spans="1:5" x14ac:dyDescent="0.25">
      <c r="A1803" s="18">
        <v>1962</v>
      </c>
      <c r="B1803" s="18" t="s">
        <v>65</v>
      </c>
      <c r="C1803" s="18">
        <v>0</v>
      </c>
      <c r="D1803" s="18">
        <v>0</v>
      </c>
      <c r="E1803" s="18">
        <v>0</v>
      </c>
    </row>
    <row r="1804" spans="1:5" x14ac:dyDescent="0.25">
      <c r="A1804" s="18">
        <v>1963</v>
      </c>
      <c r="B1804" s="18" t="s">
        <v>65</v>
      </c>
      <c r="C1804" s="18">
        <v>0</v>
      </c>
      <c r="D1804" s="18">
        <v>0</v>
      </c>
      <c r="E1804" s="18">
        <v>0</v>
      </c>
    </row>
    <row r="1805" spans="1:5" x14ac:dyDescent="0.25">
      <c r="A1805" s="18">
        <v>1964</v>
      </c>
      <c r="B1805" s="18" t="s">
        <v>65</v>
      </c>
      <c r="C1805" s="18">
        <v>0</v>
      </c>
      <c r="D1805" s="18">
        <v>0</v>
      </c>
      <c r="E1805" s="18">
        <v>0</v>
      </c>
    </row>
    <row r="1806" spans="1:5" x14ac:dyDescent="0.25">
      <c r="A1806" s="18">
        <v>1965</v>
      </c>
      <c r="B1806" s="18" t="s">
        <v>65</v>
      </c>
      <c r="C1806" s="18">
        <v>0</v>
      </c>
      <c r="D1806" s="18">
        <v>0</v>
      </c>
      <c r="E1806" s="18">
        <v>0</v>
      </c>
    </row>
    <row r="1807" spans="1:5" x14ac:dyDescent="0.25">
      <c r="A1807" s="18">
        <v>1966</v>
      </c>
      <c r="B1807" s="18" t="s">
        <v>65</v>
      </c>
      <c r="C1807" s="18">
        <v>0</v>
      </c>
      <c r="D1807" s="18">
        <v>0</v>
      </c>
      <c r="E1807" s="18">
        <v>0</v>
      </c>
    </row>
    <row r="1808" spans="1:5" x14ac:dyDescent="0.25">
      <c r="A1808" s="18">
        <v>1967</v>
      </c>
      <c r="B1808" s="18" t="s">
        <v>65</v>
      </c>
      <c r="C1808" s="18">
        <v>0</v>
      </c>
      <c r="D1808" s="18">
        <v>0</v>
      </c>
      <c r="E1808" s="18">
        <v>0</v>
      </c>
    </row>
    <row r="1809" spans="1:5" x14ac:dyDescent="0.25">
      <c r="A1809" s="18">
        <v>1968</v>
      </c>
      <c r="B1809" s="18" t="s">
        <v>65</v>
      </c>
      <c r="C1809" s="18">
        <v>0</v>
      </c>
      <c r="D1809" s="18">
        <v>0</v>
      </c>
      <c r="E1809" s="18">
        <v>0</v>
      </c>
    </row>
    <row r="1810" spans="1:5" x14ac:dyDescent="0.25">
      <c r="A1810" s="18">
        <v>1969</v>
      </c>
      <c r="B1810" s="18" t="s">
        <v>65</v>
      </c>
      <c r="C1810" s="18">
        <v>0</v>
      </c>
      <c r="D1810" s="18">
        <v>0</v>
      </c>
      <c r="E1810" s="18">
        <v>0</v>
      </c>
    </row>
    <row r="1811" spans="1:5" x14ac:dyDescent="0.25">
      <c r="A1811" s="18">
        <v>1970</v>
      </c>
      <c r="B1811" s="18" t="s">
        <v>65</v>
      </c>
      <c r="C1811" s="18">
        <v>0</v>
      </c>
      <c r="D1811" s="18">
        <v>0</v>
      </c>
      <c r="E1811" s="18">
        <v>0</v>
      </c>
    </row>
    <row r="1812" spans="1:5" x14ac:dyDescent="0.25">
      <c r="A1812" s="18">
        <v>1971</v>
      </c>
      <c r="B1812" s="18" t="s">
        <v>65</v>
      </c>
      <c r="C1812" s="18">
        <v>0</v>
      </c>
      <c r="D1812" s="18">
        <v>0</v>
      </c>
      <c r="E1812" s="18">
        <v>0</v>
      </c>
    </row>
    <row r="1813" spans="1:5" x14ac:dyDescent="0.25">
      <c r="A1813" s="18">
        <v>1972</v>
      </c>
      <c r="B1813" s="18" t="s">
        <v>65</v>
      </c>
      <c r="C1813" s="18">
        <v>0</v>
      </c>
      <c r="D1813" s="18">
        <v>0</v>
      </c>
      <c r="E1813" s="18">
        <v>0</v>
      </c>
    </row>
    <row r="1814" spans="1:5" x14ac:dyDescent="0.25">
      <c r="A1814" s="18">
        <v>1973</v>
      </c>
      <c r="B1814" s="18" t="s">
        <v>65</v>
      </c>
      <c r="C1814" s="18">
        <v>0</v>
      </c>
      <c r="D1814" s="18">
        <v>0</v>
      </c>
      <c r="E1814" s="18">
        <v>0</v>
      </c>
    </row>
    <row r="1815" spans="1:5" x14ac:dyDescent="0.25">
      <c r="A1815" s="18">
        <v>1974</v>
      </c>
      <c r="B1815" s="18" t="s">
        <v>65</v>
      </c>
      <c r="C1815" s="18">
        <v>0</v>
      </c>
      <c r="D1815" s="18">
        <v>0</v>
      </c>
      <c r="E1815" s="18">
        <v>0</v>
      </c>
    </row>
    <row r="1816" spans="1:5" x14ac:dyDescent="0.25">
      <c r="A1816" s="18">
        <v>1975</v>
      </c>
      <c r="B1816" s="18" t="s">
        <v>65</v>
      </c>
      <c r="C1816" s="18">
        <v>3832</v>
      </c>
      <c r="D1816" s="18">
        <v>4011</v>
      </c>
      <c r="E1816" s="18">
        <v>7843</v>
      </c>
    </row>
    <row r="1817" spans="1:5" x14ac:dyDescent="0.25">
      <c r="A1817" s="18">
        <v>1976</v>
      </c>
      <c r="B1817" s="18" t="s">
        <v>65</v>
      </c>
      <c r="C1817" s="18">
        <v>0</v>
      </c>
      <c r="D1817" s="18">
        <v>0</v>
      </c>
      <c r="E1817" s="18">
        <v>0</v>
      </c>
    </row>
    <row r="1818" spans="1:5" x14ac:dyDescent="0.25">
      <c r="A1818" s="18">
        <v>1977</v>
      </c>
      <c r="B1818" s="18" t="s">
        <v>65</v>
      </c>
      <c r="C1818" s="18">
        <v>0</v>
      </c>
      <c r="D1818" s="18">
        <v>0</v>
      </c>
      <c r="E1818" s="18">
        <v>0</v>
      </c>
    </row>
    <row r="1819" spans="1:5" x14ac:dyDescent="0.25">
      <c r="A1819" s="18">
        <v>1978</v>
      </c>
      <c r="B1819" s="18" t="s">
        <v>65</v>
      </c>
      <c r="C1819" s="18">
        <v>0</v>
      </c>
      <c r="D1819" s="18">
        <v>0</v>
      </c>
      <c r="E1819" s="18">
        <v>0</v>
      </c>
    </row>
    <row r="1820" spans="1:5" x14ac:dyDescent="0.25">
      <c r="A1820" s="18">
        <v>1979</v>
      </c>
      <c r="B1820" s="18" t="s">
        <v>65</v>
      </c>
      <c r="C1820" s="18">
        <v>0</v>
      </c>
      <c r="D1820" s="18">
        <v>0</v>
      </c>
      <c r="E1820" s="18">
        <v>0</v>
      </c>
    </row>
    <row r="1821" spans="1:5" x14ac:dyDescent="0.25">
      <c r="A1821" s="18">
        <v>1980</v>
      </c>
      <c r="B1821" s="18" t="s">
        <v>65</v>
      </c>
      <c r="C1821" s="18">
        <v>4207</v>
      </c>
      <c r="D1821" s="18">
        <v>4418</v>
      </c>
      <c r="E1821" s="18">
        <v>8624</v>
      </c>
    </row>
    <row r="1822" spans="1:5" x14ac:dyDescent="0.25">
      <c r="A1822" s="18">
        <v>1981</v>
      </c>
      <c r="B1822" s="18" t="s">
        <v>65</v>
      </c>
      <c r="C1822" s="18">
        <v>0</v>
      </c>
      <c r="D1822" s="18">
        <v>0</v>
      </c>
      <c r="E1822" s="18">
        <v>0</v>
      </c>
    </row>
    <row r="1823" spans="1:5" x14ac:dyDescent="0.25">
      <c r="A1823" s="18">
        <v>1982</v>
      </c>
      <c r="B1823" s="18" t="s">
        <v>65</v>
      </c>
      <c r="C1823" s="18">
        <v>0</v>
      </c>
      <c r="D1823" s="18">
        <v>0</v>
      </c>
      <c r="E1823" s="18">
        <v>0</v>
      </c>
    </row>
    <row r="1824" spans="1:5" x14ac:dyDescent="0.25">
      <c r="A1824" s="18">
        <v>1983</v>
      </c>
      <c r="B1824" s="18" t="s">
        <v>65</v>
      </c>
      <c r="C1824" s="18">
        <v>0</v>
      </c>
      <c r="D1824" s="18">
        <v>0</v>
      </c>
      <c r="E1824" s="18">
        <v>0</v>
      </c>
    </row>
    <row r="1825" spans="1:5" x14ac:dyDescent="0.25">
      <c r="A1825" s="18">
        <v>1984</v>
      </c>
      <c r="B1825" s="18" t="s">
        <v>65</v>
      </c>
      <c r="C1825" s="18">
        <v>0</v>
      </c>
      <c r="D1825" s="18">
        <v>0</v>
      </c>
      <c r="E1825" s="18">
        <v>0</v>
      </c>
    </row>
    <row r="1826" spans="1:5" x14ac:dyDescent="0.25">
      <c r="A1826" s="18">
        <v>1985</v>
      </c>
      <c r="B1826" s="18" t="s">
        <v>65</v>
      </c>
      <c r="C1826" s="18">
        <v>4276</v>
      </c>
      <c r="D1826" s="18">
        <v>4471</v>
      </c>
      <c r="E1826" s="18">
        <v>8747</v>
      </c>
    </row>
    <row r="1827" spans="1:5" x14ac:dyDescent="0.25">
      <c r="A1827" s="18">
        <v>1986</v>
      </c>
      <c r="B1827" s="18" t="s">
        <v>65</v>
      </c>
      <c r="C1827" s="18">
        <v>0</v>
      </c>
      <c r="D1827" s="18">
        <v>0</v>
      </c>
      <c r="E1827" s="18">
        <v>0</v>
      </c>
    </row>
    <row r="1828" spans="1:5" x14ac:dyDescent="0.25">
      <c r="A1828" s="18">
        <v>1987</v>
      </c>
      <c r="B1828" s="18" t="s">
        <v>65</v>
      </c>
      <c r="C1828" s="18">
        <v>0</v>
      </c>
      <c r="D1828" s="18">
        <v>0</v>
      </c>
      <c r="E1828" s="18">
        <v>0</v>
      </c>
    </row>
    <row r="1829" spans="1:5" x14ac:dyDescent="0.25">
      <c r="A1829" s="18">
        <v>1988</v>
      </c>
      <c r="B1829" s="18" t="s">
        <v>65</v>
      </c>
      <c r="C1829" s="18">
        <v>0</v>
      </c>
      <c r="D1829" s="18">
        <v>0</v>
      </c>
      <c r="E1829" s="18">
        <v>0</v>
      </c>
    </row>
    <row r="1830" spans="1:5" x14ac:dyDescent="0.25">
      <c r="A1830" s="18">
        <v>1989</v>
      </c>
      <c r="B1830" s="18" t="s">
        <v>65</v>
      </c>
      <c r="C1830" s="18">
        <v>0</v>
      </c>
      <c r="D1830" s="18">
        <v>0</v>
      </c>
      <c r="E1830" s="18">
        <v>0</v>
      </c>
    </row>
    <row r="1831" spans="1:5" x14ac:dyDescent="0.25">
      <c r="A1831" s="18">
        <v>1990</v>
      </c>
      <c r="B1831" s="18" t="s">
        <v>65</v>
      </c>
      <c r="C1831" s="18">
        <v>5277</v>
      </c>
      <c r="D1831" s="18">
        <v>5631</v>
      </c>
      <c r="E1831" s="18">
        <v>10907</v>
      </c>
    </row>
    <row r="1832" spans="1:5" x14ac:dyDescent="0.25">
      <c r="A1832" s="18">
        <v>1991</v>
      </c>
      <c r="B1832" s="18" t="s">
        <v>65</v>
      </c>
      <c r="C1832" s="18">
        <v>0</v>
      </c>
      <c r="D1832" s="18">
        <v>0</v>
      </c>
      <c r="E1832" s="18">
        <v>0</v>
      </c>
    </row>
    <row r="1833" spans="1:5" x14ac:dyDescent="0.25">
      <c r="A1833" s="18">
        <v>1992</v>
      </c>
      <c r="B1833" s="18" t="s">
        <v>65</v>
      </c>
      <c r="C1833" s="18">
        <v>0</v>
      </c>
      <c r="D1833" s="18">
        <v>0</v>
      </c>
      <c r="E1833" s="18">
        <v>0</v>
      </c>
    </row>
    <row r="1834" spans="1:5" x14ac:dyDescent="0.25">
      <c r="A1834" s="18">
        <v>1993</v>
      </c>
      <c r="B1834" s="18" t="s">
        <v>65</v>
      </c>
      <c r="C1834" s="18">
        <v>0</v>
      </c>
      <c r="D1834" s="18">
        <v>0</v>
      </c>
      <c r="E1834" s="18">
        <v>0</v>
      </c>
    </row>
    <row r="1835" spans="1:5" x14ac:dyDescent="0.25">
      <c r="A1835" s="18">
        <v>1994</v>
      </c>
      <c r="B1835" s="18" t="s">
        <v>65</v>
      </c>
      <c r="C1835" s="18">
        <v>0</v>
      </c>
      <c r="D1835" s="18">
        <v>0</v>
      </c>
      <c r="E1835" s="18">
        <v>0</v>
      </c>
    </row>
    <row r="1836" spans="1:5" x14ac:dyDescent="0.25">
      <c r="A1836" s="18">
        <v>1995</v>
      </c>
      <c r="B1836" s="18" t="s">
        <v>65</v>
      </c>
      <c r="C1836" s="18">
        <v>0</v>
      </c>
      <c r="D1836" s="18">
        <v>0</v>
      </c>
      <c r="E1836" s="18">
        <v>0</v>
      </c>
    </row>
    <row r="1837" spans="1:5" x14ac:dyDescent="0.25">
      <c r="A1837" s="18">
        <v>1996</v>
      </c>
      <c r="B1837" s="18" t="s">
        <v>65</v>
      </c>
      <c r="C1837" s="18">
        <v>0</v>
      </c>
      <c r="D1837" s="18">
        <v>0</v>
      </c>
      <c r="E1837" s="18">
        <v>0</v>
      </c>
    </row>
    <row r="1838" spans="1:5" x14ac:dyDescent="0.25">
      <c r="A1838" s="18">
        <v>1997</v>
      </c>
      <c r="B1838" s="18" t="s">
        <v>65</v>
      </c>
      <c r="C1838" s="18">
        <v>0</v>
      </c>
      <c r="D1838" s="18">
        <v>0</v>
      </c>
      <c r="E1838" s="18">
        <v>0</v>
      </c>
    </row>
    <row r="1839" spans="1:5" x14ac:dyDescent="0.25">
      <c r="A1839" s="18">
        <v>1998</v>
      </c>
      <c r="B1839" s="18" t="s">
        <v>65</v>
      </c>
      <c r="C1839" s="18">
        <v>0</v>
      </c>
      <c r="D1839" s="18">
        <v>0</v>
      </c>
      <c r="E1839" s="18">
        <v>0</v>
      </c>
    </row>
    <row r="1840" spans="1:5" x14ac:dyDescent="0.25">
      <c r="A1840" s="18">
        <v>1999</v>
      </c>
      <c r="B1840" s="18" t="s">
        <v>65</v>
      </c>
      <c r="C1840" s="18">
        <v>0</v>
      </c>
      <c r="D1840" s="18">
        <v>0</v>
      </c>
      <c r="E1840" s="18">
        <v>0</v>
      </c>
    </row>
    <row r="1841" spans="1:5" x14ac:dyDescent="0.25">
      <c r="A1841" s="18">
        <v>2000</v>
      </c>
      <c r="B1841" s="18" t="s">
        <v>65</v>
      </c>
      <c r="C1841" s="18">
        <v>5559</v>
      </c>
      <c r="D1841" s="18">
        <v>6006</v>
      </c>
      <c r="E1841" s="18">
        <v>11566</v>
      </c>
    </row>
    <row r="1842" spans="1:5" x14ac:dyDescent="0.25">
      <c r="A1842" s="18">
        <v>2001</v>
      </c>
      <c r="B1842" s="18" t="s">
        <v>65</v>
      </c>
      <c r="C1842" s="18">
        <v>0</v>
      </c>
      <c r="D1842" s="18">
        <v>0</v>
      </c>
      <c r="E1842" s="18">
        <v>0</v>
      </c>
    </row>
    <row r="1843" spans="1:5" x14ac:dyDescent="0.25">
      <c r="A1843" s="18">
        <v>2002</v>
      </c>
      <c r="B1843" s="18" t="s">
        <v>65</v>
      </c>
      <c r="C1843" s="18">
        <v>0</v>
      </c>
      <c r="D1843" s="18">
        <v>0</v>
      </c>
      <c r="E1843" s="18">
        <v>0</v>
      </c>
    </row>
    <row r="1844" spans="1:5" x14ac:dyDescent="0.25">
      <c r="A1844" s="18">
        <v>2003</v>
      </c>
      <c r="B1844" s="18" t="s">
        <v>65</v>
      </c>
      <c r="C1844" s="18">
        <v>0</v>
      </c>
      <c r="D1844" s="18">
        <v>0</v>
      </c>
      <c r="E1844" s="18">
        <v>0</v>
      </c>
    </row>
    <row r="1845" spans="1:5" x14ac:dyDescent="0.25">
      <c r="A1845" s="18">
        <v>2004</v>
      </c>
      <c r="B1845" s="18" t="s">
        <v>65</v>
      </c>
      <c r="C1845" s="18">
        <v>0</v>
      </c>
      <c r="D1845" s="18">
        <v>0</v>
      </c>
      <c r="E1845" s="18">
        <v>0</v>
      </c>
    </row>
    <row r="1846" spans="1:5" x14ac:dyDescent="0.25">
      <c r="A1846" s="18">
        <v>2005</v>
      </c>
      <c r="B1846" s="18" t="s">
        <v>65</v>
      </c>
      <c r="C1846" s="18">
        <v>0</v>
      </c>
      <c r="D1846" s="18">
        <v>0</v>
      </c>
      <c r="E1846" s="18">
        <v>0</v>
      </c>
    </row>
    <row r="1847" spans="1:5" x14ac:dyDescent="0.25">
      <c r="A1847" s="18">
        <v>2006</v>
      </c>
      <c r="B1847" s="18" t="s">
        <v>65</v>
      </c>
      <c r="C1847" s="18">
        <v>0</v>
      </c>
      <c r="D1847" s="18">
        <v>0</v>
      </c>
      <c r="E1847" s="18">
        <v>0</v>
      </c>
    </row>
    <row r="1848" spans="1:5" x14ac:dyDescent="0.25">
      <c r="A1848" s="18">
        <v>2007</v>
      </c>
      <c r="B1848" s="18" t="s">
        <v>65</v>
      </c>
      <c r="C1848" s="18">
        <v>0</v>
      </c>
      <c r="D1848" s="18">
        <v>0</v>
      </c>
      <c r="E1848" s="18">
        <v>0</v>
      </c>
    </row>
    <row r="1849" spans="1:5" x14ac:dyDescent="0.25">
      <c r="A1849" s="18">
        <v>2008</v>
      </c>
      <c r="B1849" s="18" t="s">
        <v>65</v>
      </c>
      <c r="C1849" s="18">
        <v>0</v>
      </c>
      <c r="D1849" s="18">
        <v>0</v>
      </c>
      <c r="E1849" s="18">
        <v>0</v>
      </c>
    </row>
    <row r="1850" spans="1:5" x14ac:dyDescent="0.25">
      <c r="A1850" s="18">
        <v>1950</v>
      </c>
      <c r="B1850" s="18" t="s">
        <v>39</v>
      </c>
      <c r="C1850" s="18">
        <v>0</v>
      </c>
      <c r="D1850" s="18">
        <v>0</v>
      </c>
      <c r="E1850" s="18">
        <v>0</v>
      </c>
    </row>
    <row r="1851" spans="1:5" x14ac:dyDescent="0.25">
      <c r="A1851" s="18">
        <v>1951</v>
      </c>
      <c r="B1851" s="18" t="s">
        <v>39</v>
      </c>
      <c r="C1851" s="18">
        <v>0</v>
      </c>
      <c r="D1851" s="18">
        <v>0</v>
      </c>
      <c r="E1851" s="18">
        <v>0</v>
      </c>
    </row>
    <row r="1852" spans="1:5" x14ac:dyDescent="0.25">
      <c r="A1852" s="18">
        <v>1952</v>
      </c>
      <c r="B1852" s="18" t="s">
        <v>39</v>
      </c>
      <c r="C1852" s="18">
        <v>0</v>
      </c>
      <c r="D1852" s="18">
        <v>0</v>
      </c>
      <c r="E1852" s="18">
        <v>0</v>
      </c>
    </row>
    <row r="1853" spans="1:5" x14ac:dyDescent="0.25">
      <c r="A1853" s="18">
        <v>1953</v>
      </c>
      <c r="B1853" s="18" t="s">
        <v>39</v>
      </c>
      <c r="C1853" s="18">
        <v>0</v>
      </c>
      <c r="D1853" s="18">
        <v>0</v>
      </c>
      <c r="E1853" s="18">
        <v>0</v>
      </c>
    </row>
    <row r="1854" spans="1:5" x14ac:dyDescent="0.25">
      <c r="A1854" s="18">
        <v>1954</v>
      </c>
      <c r="B1854" s="18" t="s">
        <v>39</v>
      </c>
      <c r="C1854" s="18">
        <v>0</v>
      </c>
      <c r="D1854" s="18">
        <v>0</v>
      </c>
      <c r="E1854" s="18">
        <v>0</v>
      </c>
    </row>
    <row r="1855" spans="1:5" x14ac:dyDescent="0.25">
      <c r="A1855" s="18">
        <v>1955</v>
      </c>
      <c r="B1855" s="18" t="s">
        <v>39</v>
      </c>
      <c r="C1855" s="18">
        <v>0</v>
      </c>
      <c r="D1855" s="18">
        <v>0</v>
      </c>
      <c r="E1855" s="18">
        <v>0</v>
      </c>
    </row>
    <row r="1856" spans="1:5" x14ac:dyDescent="0.25">
      <c r="A1856" s="18">
        <v>1956</v>
      </c>
      <c r="B1856" s="18" t="s">
        <v>39</v>
      </c>
      <c r="C1856" s="18">
        <v>0</v>
      </c>
      <c r="D1856" s="18">
        <v>0</v>
      </c>
      <c r="E1856" s="18">
        <v>0</v>
      </c>
    </row>
    <row r="1857" spans="1:5" x14ac:dyDescent="0.25">
      <c r="A1857" s="18">
        <v>1957</v>
      </c>
      <c r="B1857" s="18" t="s">
        <v>39</v>
      </c>
      <c r="C1857" s="18">
        <v>0</v>
      </c>
      <c r="D1857" s="18">
        <v>0</v>
      </c>
      <c r="E1857" s="18">
        <v>0</v>
      </c>
    </row>
    <row r="1858" spans="1:5" x14ac:dyDescent="0.25">
      <c r="A1858" s="18">
        <v>1958</v>
      </c>
      <c r="B1858" s="18" t="s">
        <v>39</v>
      </c>
      <c r="C1858" s="18">
        <v>0</v>
      </c>
      <c r="D1858" s="18">
        <v>0</v>
      </c>
      <c r="E1858" s="18">
        <v>0</v>
      </c>
    </row>
    <row r="1859" spans="1:5" x14ac:dyDescent="0.25">
      <c r="A1859" s="18">
        <v>1959</v>
      </c>
      <c r="B1859" s="18" t="s">
        <v>39</v>
      </c>
      <c r="C1859" s="18">
        <v>0</v>
      </c>
      <c r="D1859" s="18">
        <v>0</v>
      </c>
      <c r="E1859" s="18">
        <v>0</v>
      </c>
    </row>
    <row r="1860" spans="1:5" x14ac:dyDescent="0.25">
      <c r="A1860" s="18">
        <v>1960</v>
      </c>
      <c r="B1860" s="18" t="s">
        <v>39</v>
      </c>
      <c r="C1860" s="18">
        <v>0</v>
      </c>
      <c r="D1860" s="18">
        <v>0</v>
      </c>
      <c r="E1860" s="18">
        <v>0</v>
      </c>
    </row>
    <row r="1861" spans="1:5" x14ac:dyDescent="0.25">
      <c r="A1861" s="18">
        <v>1961</v>
      </c>
      <c r="B1861" s="18" t="s">
        <v>39</v>
      </c>
      <c r="C1861" s="18">
        <v>0</v>
      </c>
      <c r="D1861" s="18">
        <v>0</v>
      </c>
      <c r="E1861" s="18">
        <v>0</v>
      </c>
    </row>
    <row r="1862" spans="1:5" x14ac:dyDescent="0.25">
      <c r="A1862" s="18">
        <v>1962</v>
      </c>
      <c r="B1862" s="18" t="s">
        <v>39</v>
      </c>
      <c r="C1862" s="18">
        <v>0</v>
      </c>
      <c r="D1862" s="18">
        <v>0</v>
      </c>
      <c r="E1862" s="18">
        <v>0</v>
      </c>
    </row>
    <row r="1863" spans="1:5" x14ac:dyDescent="0.25">
      <c r="A1863" s="18">
        <v>1963</v>
      </c>
      <c r="B1863" s="18" t="s">
        <v>39</v>
      </c>
      <c r="C1863" s="18">
        <v>0</v>
      </c>
      <c r="D1863" s="18">
        <v>0</v>
      </c>
      <c r="E1863" s="18">
        <v>0</v>
      </c>
    </row>
    <row r="1864" spans="1:5" x14ac:dyDescent="0.25">
      <c r="A1864" s="18">
        <v>1964</v>
      </c>
      <c r="B1864" s="18" t="s">
        <v>39</v>
      </c>
      <c r="C1864" s="18">
        <v>0</v>
      </c>
      <c r="D1864" s="18">
        <v>0</v>
      </c>
      <c r="E1864" s="18">
        <v>0</v>
      </c>
    </row>
    <row r="1865" spans="1:5" x14ac:dyDescent="0.25">
      <c r="A1865" s="18">
        <v>1965</v>
      </c>
      <c r="B1865" s="18" t="s">
        <v>39</v>
      </c>
      <c r="C1865" s="18">
        <v>0</v>
      </c>
      <c r="D1865" s="18">
        <v>0</v>
      </c>
      <c r="E1865" s="18">
        <v>0</v>
      </c>
    </row>
    <row r="1866" spans="1:5" x14ac:dyDescent="0.25">
      <c r="A1866" s="18">
        <v>1966</v>
      </c>
      <c r="B1866" s="18" t="s">
        <v>39</v>
      </c>
      <c r="C1866" s="18">
        <v>0</v>
      </c>
      <c r="D1866" s="18">
        <v>0</v>
      </c>
      <c r="E1866" s="18">
        <v>0</v>
      </c>
    </row>
    <row r="1867" spans="1:5" x14ac:dyDescent="0.25">
      <c r="A1867" s="18">
        <v>1967</v>
      </c>
      <c r="B1867" s="18" t="s">
        <v>39</v>
      </c>
      <c r="C1867" s="18">
        <v>0</v>
      </c>
      <c r="D1867" s="18">
        <v>0</v>
      </c>
      <c r="E1867" s="18">
        <v>0</v>
      </c>
    </row>
    <row r="1868" spans="1:5" x14ac:dyDescent="0.25">
      <c r="A1868" s="18">
        <v>1968</v>
      </c>
      <c r="B1868" s="18" t="s">
        <v>39</v>
      </c>
      <c r="C1868" s="18">
        <v>0</v>
      </c>
      <c r="D1868" s="18">
        <v>0</v>
      </c>
      <c r="E1868" s="18">
        <v>0</v>
      </c>
    </row>
    <row r="1869" spans="1:5" x14ac:dyDescent="0.25">
      <c r="A1869" s="18">
        <v>1969</v>
      </c>
      <c r="B1869" s="18" t="s">
        <v>39</v>
      </c>
      <c r="C1869" s="18">
        <v>0</v>
      </c>
      <c r="D1869" s="18">
        <v>0</v>
      </c>
      <c r="E1869" s="18">
        <v>0</v>
      </c>
    </row>
    <row r="1870" spans="1:5" x14ac:dyDescent="0.25">
      <c r="A1870" s="18">
        <v>1970</v>
      </c>
      <c r="B1870" s="18" t="s">
        <v>39</v>
      </c>
      <c r="C1870" s="18">
        <v>0</v>
      </c>
      <c r="D1870" s="18">
        <v>0</v>
      </c>
      <c r="E1870" s="18">
        <v>0</v>
      </c>
    </row>
    <row r="1871" spans="1:5" x14ac:dyDescent="0.25">
      <c r="A1871" s="18">
        <v>1971</v>
      </c>
      <c r="B1871" s="18" t="s">
        <v>39</v>
      </c>
      <c r="C1871" s="18">
        <v>0</v>
      </c>
      <c r="D1871" s="18">
        <v>0</v>
      </c>
      <c r="E1871" s="18">
        <v>0</v>
      </c>
    </row>
    <row r="1872" spans="1:5" x14ac:dyDescent="0.25">
      <c r="A1872" s="18">
        <v>1972</v>
      </c>
      <c r="B1872" s="18" t="s">
        <v>39</v>
      </c>
      <c r="C1872" s="18">
        <v>0</v>
      </c>
      <c r="D1872" s="18">
        <v>0</v>
      </c>
      <c r="E1872" s="18">
        <v>0</v>
      </c>
    </row>
    <row r="1873" spans="1:5" x14ac:dyDescent="0.25">
      <c r="A1873" s="18">
        <v>1973</v>
      </c>
      <c r="B1873" s="18" t="s">
        <v>39</v>
      </c>
      <c r="C1873" s="18">
        <v>0</v>
      </c>
      <c r="D1873" s="18">
        <v>0</v>
      </c>
      <c r="E1873" s="18">
        <v>0</v>
      </c>
    </row>
    <row r="1874" spans="1:5" x14ac:dyDescent="0.25">
      <c r="A1874" s="18">
        <v>1974</v>
      </c>
      <c r="B1874" s="18" t="s">
        <v>39</v>
      </c>
      <c r="C1874" s="18">
        <v>0</v>
      </c>
      <c r="D1874" s="18">
        <v>0</v>
      </c>
      <c r="E1874" s="18">
        <v>0</v>
      </c>
    </row>
    <row r="1875" spans="1:5" x14ac:dyDescent="0.25">
      <c r="A1875" s="18">
        <v>1975</v>
      </c>
      <c r="B1875" s="18" t="s">
        <v>39</v>
      </c>
      <c r="C1875" s="18">
        <v>5732</v>
      </c>
      <c r="D1875" s="18">
        <v>6283</v>
      </c>
      <c r="E1875" s="18">
        <v>12015</v>
      </c>
    </row>
    <row r="1876" spans="1:5" x14ac:dyDescent="0.25">
      <c r="A1876" s="18">
        <v>1976</v>
      </c>
      <c r="B1876" s="18" t="s">
        <v>39</v>
      </c>
      <c r="C1876" s="18">
        <v>0</v>
      </c>
      <c r="D1876" s="18">
        <v>0</v>
      </c>
      <c r="E1876" s="18">
        <v>0</v>
      </c>
    </row>
    <row r="1877" spans="1:5" x14ac:dyDescent="0.25">
      <c r="A1877" s="18">
        <v>1977</v>
      </c>
      <c r="B1877" s="18" t="s">
        <v>39</v>
      </c>
      <c r="C1877" s="18">
        <v>0</v>
      </c>
      <c r="D1877" s="18">
        <v>0</v>
      </c>
      <c r="E1877" s="18">
        <v>0</v>
      </c>
    </row>
    <row r="1878" spans="1:5" x14ac:dyDescent="0.25">
      <c r="A1878" s="18">
        <v>1978</v>
      </c>
      <c r="B1878" s="18" t="s">
        <v>39</v>
      </c>
      <c r="C1878" s="18">
        <v>0</v>
      </c>
      <c r="D1878" s="18">
        <v>0</v>
      </c>
      <c r="E1878" s="18">
        <v>0</v>
      </c>
    </row>
    <row r="1879" spans="1:5" x14ac:dyDescent="0.25">
      <c r="A1879" s="18">
        <v>1979</v>
      </c>
      <c r="B1879" s="18" t="s">
        <v>39</v>
      </c>
      <c r="C1879" s="18">
        <v>0</v>
      </c>
      <c r="D1879" s="18">
        <v>0</v>
      </c>
      <c r="E1879" s="18">
        <v>0</v>
      </c>
    </row>
    <row r="1880" spans="1:5" x14ac:dyDescent="0.25">
      <c r="A1880" s="18">
        <v>1980</v>
      </c>
      <c r="B1880" s="18" t="s">
        <v>39</v>
      </c>
      <c r="C1880" s="18">
        <v>5230</v>
      </c>
      <c r="D1880" s="18">
        <v>5417</v>
      </c>
      <c r="E1880" s="18">
        <v>10647</v>
      </c>
    </row>
    <row r="1881" spans="1:5" x14ac:dyDescent="0.25">
      <c r="A1881" s="18">
        <v>1981</v>
      </c>
      <c r="B1881" s="18" t="s">
        <v>39</v>
      </c>
      <c r="C1881" s="18">
        <v>0</v>
      </c>
      <c r="D1881" s="18">
        <v>0</v>
      </c>
      <c r="E1881" s="18">
        <v>0</v>
      </c>
    </row>
    <row r="1882" spans="1:5" x14ac:dyDescent="0.25">
      <c r="A1882" s="18">
        <v>1982</v>
      </c>
      <c r="B1882" s="18" t="s">
        <v>39</v>
      </c>
      <c r="C1882" s="18">
        <v>0</v>
      </c>
      <c r="D1882" s="18">
        <v>0</v>
      </c>
      <c r="E1882" s="18">
        <v>0</v>
      </c>
    </row>
    <row r="1883" spans="1:5" x14ac:dyDescent="0.25">
      <c r="A1883" s="18">
        <v>1983</v>
      </c>
      <c r="B1883" s="18" t="s">
        <v>39</v>
      </c>
      <c r="C1883" s="18">
        <v>0</v>
      </c>
      <c r="D1883" s="18">
        <v>0</v>
      </c>
      <c r="E1883" s="18">
        <v>0</v>
      </c>
    </row>
    <row r="1884" spans="1:5" x14ac:dyDescent="0.25">
      <c r="A1884" s="18">
        <v>1984</v>
      </c>
      <c r="B1884" s="18" t="s">
        <v>39</v>
      </c>
      <c r="C1884" s="18">
        <v>0</v>
      </c>
      <c r="D1884" s="18">
        <v>0</v>
      </c>
      <c r="E1884" s="18">
        <v>0</v>
      </c>
    </row>
    <row r="1885" spans="1:5" x14ac:dyDescent="0.25">
      <c r="A1885" s="18">
        <v>1985</v>
      </c>
      <c r="B1885" s="18" t="s">
        <v>39</v>
      </c>
      <c r="C1885" s="18">
        <v>5906</v>
      </c>
      <c r="D1885" s="18">
        <v>5982</v>
      </c>
      <c r="E1885" s="18">
        <v>11888</v>
      </c>
    </row>
    <row r="1886" spans="1:5" x14ac:dyDescent="0.25">
      <c r="A1886" s="18">
        <v>1986</v>
      </c>
      <c r="B1886" s="18" t="s">
        <v>39</v>
      </c>
      <c r="C1886" s="18">
        <v>0</v>
      </c>
      <c r="D1886" s="18">
        <v>0</v>
      </c>
      <c r="E1886" s="18">
        <v>0</v>
      </c>
    </row>
    <row r="1887" spans="1:5" x14ac:dyDescent="0.25">
      <c r="A1887" s="18">
        <v>1987</v>
      </c>
      <c r="B1887" s="18" t="s">
        <v>39</v>
      </c>
      <c r="C1887" s="18">
        <v>0</v>
      </c>
      <c r="D1887" s="18">
        <v>0</v>
      </c>
      <c r="E1887" s="18">
        <v>0</v>
      </c>
    </row>
    <row r="1888" spans="1:5" x14ac:dyDescent="0.25">
      <c r="A1888" s="18">
        <v>1988</v>
      </c>
      <c r="B1888" s="18" t="s">
        <v>39</v>
      </c>
      <c r="C1888" s="18">
        <v>0</v>
      </c>
      <c r="D1888" s="18">
        <v>0</v>
      </c>
      <c r="E1888" s="18">
        <v>0</v>
      </c>
    </row>
    <row r="1889" spans="1:5" x14ac:dyDescent="0.25">
      <c r="A1889" s="18">
        <v>1989</v>
      </c>
      <c r="B1889" s="18" t="s">
        <v>39</v>
      </c>
      <c r="C1889" s="18">
        <v>0</v>
      </c>
      <c r="D1889" s="18">
        <v>0</v>
      </c>
      <c r="E1889" s="18">
        <v>0</v>
      </c>
    </row>
    <row r="1890" spans="1:5" x14ac:dyDescent="0.25">
      <c r="A1890" s="18">
        <v>1990</v>
      </c>
      <c r="B1890" s="18" t="s">
        <v>39</v>
      </c>
      <c r="C1890" s="18">
        <v>8325</v>
      </c>
      <c r="D1890" s="18">
        <v>8712</v>
      </c>
      <c r="E1890" s="18">
        <v>17037</v>
      </c>
    </row>
    <row r="1891" spans="1:5" x14ac:dyDescent="0.25">
      <c r="A1891" s="18">
        <v>1991</v>
      </c>
      <c r="B1891" s="18" t="s">
        <v>39</v>
      </c>
      <c r="C1891" s="18">
        <v>0</v>
      </c>
      <c r="D1891" s="18">
        <v>0</v>
      </c>
      <c r="E1891" s="18">
        <v>0</v>
      </c>
    </row>
    <row r="1892" spans="1:5" x14ac:dyDescent="0.25">
      <c r="A1892" s="18">
        <v>1992</v>
      </c>
      <c r="B1892" s="18" t="s">
        <v>39</v>
      </c>
      <c r="C1892" s="18">
        <v>0</v>
      </c>
      <c r="D1892" s="18">
        <v>0</v>
      </c>
      <c r="E1892" s="18">
        <v>0</v>
      </c>
    </row>
    <row r="1893" spans="1:5" x14ac:dyDescent="0.25">
      <c r="A1893" s="18">
        <v>1993</v>
      </c>
      <c r="B1893" s="18" t="s">
        <v>39</v>
      </c>
      <c r="C1893" s="18">
        <v>0</v>
      </c>
      <c r="D1893" s="18">
        <v>0</v>
      </c>
      <c r="E1893" s="18">
        <v>0</v>
      </c>
    </row>
    <row r="1894" spans="1:5" x14ac:dyDescent="0.25">
      <c r="A1894" s="18">
        <v>1994</v>
      </c>
      <c r="B1894" s="18" t="s">
        <v>39</v>
      </c>
      <c r="C1894" s="18">
        <v>0</v>
      </c>
      <c r="D1894" s="18">
        <v>0</v>
      </c>
      <c r="E1894" s="18">
        <v>0</v>
      </c>
    </row>
    <row r="1895" spans="1:5" x14ac:dyDescent="0.25">
      <c r="A1895" s="18">
        <v>1995</v>
      </c>
      <c r="B1895" s="18" t="s">
        <v>39</v>
      </c>
      <c r="C1895" s="18">
        <v>0</v>
      </c>
      <c r="D1895" s="18">
        <v>0</v>
      </c>
      <c r="E1895" s="18">
        <v>0</v>
      </c>
    </row>
    <row r="1896" spans="1:5" x14ac:dyDescent="0.25">
      <c r="A1896" s="18">
        <v>1996</v>
      </c>
      <c r="B1896" s="18" t="s">
        <v>39</v>
      </c>
      <c r="C1896" s="18">
        <v>0</v>
      </c>
      <c r="D1896" s="18">
        <v>0</v>
      </c>
      <c r="E1896" s="18">
        <v>0</v>
      </c>
    </row>
    <row r="1897" spans="1:5" x14ac:dyDescent="0.25">
      <c r="A1897" s="18">
        <v>1997</v>
      </c>
      <c r="B1897" s="18" t="s">
        <v>39</v>
      </c>
      <c r="C1897" s="18">
        <v>0</v>
      </c>
      <c r="D1897" s="18">
        <v>0</v>
      </c>
      <c r="E1897" s="18">
        <v>0</v>
      </c>
    </row>
    <row r="1898" spans="1:5" x14ac:dyDescent="0.25">
      <c r="A1898" s="18">
        <v>1998</v>
      </c>
      <c r="B1898" s="18" t="s">
        <v>39</v>
      </c>
      <c r="C1898" s="18">
        <v>0</v>
      </c>
      <c r="D1898" s="18">
        <v>0</v>
      </c>
      <c r="E1898" s="18">
        <v>0</v>
      </c>
    </row>
    <row r="1899" spans="1:5" x14ac:dyDescent="0.25">
      <c r="A1899" s="18">
        <v>1999</v>
      </c>
      <c r="B1899" s="18" t="s">
        <v>39</v>
      </c>
      <c r="C1899" s="18">
        <v>0</v>
      </c>
      <c r="D1899" s="18">
        <v>0</v>
      </c>
      <c r="E1899" s="18">
        <v>0</v>
      </c>
    </row>
    <row r="1900" spans="1:5" x14ac:dyDescent="0.25">
      <c r="A1900" s="18">
        <v>2000</v>
      </c>
      <c r="B1900" s="18" t="s">
        <v>39</v>
      </c>
      <c r="C1900" s="18">
        <v>9035</v>
      </c>
      <c r="D1900" s="18">
        <v>9458</v>
      </c>
      <c r="E1900" s="18">
        <v>18493</v>
      </c>
    </row>
    <row r="1901" spans="1:5" x14ac:dyDescent="0.25">
      <c r="A1901" s="18">
        <v>2001</v>
      </c>
      <c r="B1901" s="18" t="s">
        <v>39</v>
      </c>
      <c r="C1901" s="18">
        <v>0</v>
      </c>
      <c r="D1901" s="18">
        <v>0</v>
      </c>
      <c r="E1901" s="18">
        <v>0</v>
      </c>
    </row>
    <row r="1902" spans="1:5" x14ac:dyDescent="0.25">
      <c r="A1902" s="18">
        <v>2002</v>
      </c>
      <c r="B1902" s="18" t="s">
        <v>39</v>
      </c>
      <c r="C1902" s="18">
        <v>0</v>
      </c>
      <c r="D1902" s="18">
        <v>0</v>
      </c>
      <c r="E1902" s="18">
        <v>0</v>
      </c>
    </row>
    <row r="1903" spans="1:5" x14ac:dyDescent="0.25">
      <c r="A1903" s="18">
        <v>2003</v>
      </c>
      <c r="B1903" s="18" t="s">
        <v>39</v>
      </c>
      <c r="C1903" s="18">
        <v>0</v>
      </c>
      <c r="D1903" s="18">
        <v>0</v>
      </c>
      <c r="E1903" s="18">
        <v>0</v>
      </c>
    </row>
    <row r="1904" spans="1:5" x14ac:dyDescent="0.25">
      <c r="A1904" s="18">
        <v>2004</v>
      </c>
      <c r="B1904" s="18" t="s">
        <v>39</v>
      </c>
      <c r="C1904" s="18">
        <v>0</v>
      </c>
      <c r="D1904" s="18">
        <v>0</v>
      </c>
      <c r="E1904" s="18">
        <v>0</v>
      </c>
    </row>
    <row r="1905" spans="1:5" x14ac:dyDescent="0.25">
      <c r="A1905" s="18">
        <v>2005</v>
      </c>
      <c r="B1905" s="18" t="s">
        <v>39</v>
      </c>
      <c r="C1905" s="18">
        <v>0</v>
      </c>
      <c r="D1905" s="18">
        <v>0</v>
      </c>
      <c r="E1905" s="18">
        <v>0</v>
      </c>
    </row>
    <row r="1906" spans="1:5" x14ac:dyDescent="0.25">
      <c r="A1906" s="18">
        <v>2006</v>
      </c>
      <c r="B1906" s="18" t="s">
        <v>39</v>
      </c>
      <c r="C1906" s="18">
        <v>0</v>
      </c>
      <c r="D1906" s="18">
        <v>0</v>
      </c>
      <c r="E1906" s="18">
        <v>0</v>
      </c>
    </row>
    <row r="1907" spans="1:5" x14ac:dyDescent="0.25">
      <c r="A1907" s="18">
        <v>2007</v>
      </c>
      <c r="B1907" s="18" t="s">
        <v>39</v>
      </c>
      <c r="C1907" s="18">
        <v>0</v>
      </c>
      <c r="D1907" s="18">
        <v>0</v>
      </c>
      <c r="E1907" s="18">
        <v>0</v>
      </c>
    </row>
    <row r="1908" spans="1:5" x14ac:dyDescent="0.25">
      <c r="A1908" s="18">
        <v>2008</v>
      </c>
      <c r="B1908" s="18" t="s">
        <v>39</v>
      </c>
      <c r="C1908" s="18">
        <v>0</v>
      </c>
      <c r="D1908" s="18">
        <v>0</v>
      </c>
      <c r="E1908" s="18">
        <v>0</v>
      </c>
    </row>
    <row r="1909" spans="1:5" x14ac:dyDescent="0.25">
      <c r="A1909" s="18">
        <v>1950</v>
      </c>
      <c r="B1909" s="18" t="s">
        <v>68</v>
      </c>
      <c r="C1909" s="18">
        <v>0</v>
      </c>
      <c r="D1909" s="18">
        <v>0</v>
      </c>
      <c r="E1909" s="18">
        <v>0</v>
      </c>
    </row>
    <row r="1910" spans="1:5" x14ac:dyDescent="0.25">
      <c r="A1910" s="18">
        <v>1951</v>
      </c>
      <c r="B1910" s="18" t="s">
        <v>68</v>
      </c>
      <c r="C1910" s="18">
        <v>0</v>
      </c>
      <c r="D1910" s="18">
        <v>0</v>
      </c>
      <c r="E1910" s="18">
        <v>0</v>
      </c>
    </row>
    <row r="1911" spans="1:5" x14ac:dyDescent="0.25">
      <c r="A1911" s="18">
        <v>1952</v>
      </c>
      <c r="B1911" s="18" t="s">
        <v>68</v>
      </c>
      <c r="C1911" s="18">
        <v>0</v>
      </c>
      <c r="D1911" s="18">
        <v>0</v>
      </c>
      <c r="E1911" s="18">
        <v>0</v>
      </c>
    </row>
    <row r="1912" spans="1:5" x14ac:dyDescent="0.25">
      <c r="A1912" s="18">
        <v>1953</v>
      </c>
      <c r="B1912" s="18" t="s">
        <v>68</v>
      </c>
      <c r="C1912" s="18">
        <v>0</v>
      </c>
      <c r="D1912" s="18">
        <v>0</v>
      </c>
      <c r="E1912" s="18">
        <v>0</v>
      </c>
    </row>
    <row r="1913" spans="1:5" x14ac:dyDescent="0.25">
      <c r="A1913" s="18">
        <v>1954</v>
      </c>
      <c r="B1913" s="18" t="s">
        <v>68</v>
      </c>
      <c r="C1913" s="18">
        <v>0</v>
      </c>
      <c r="D1913" s="18">
        <v>0</v>
      </c>
      <c r="E1913" s="18">
        <v>0</v>
      </c>
    </row>
    <row r="1914" spans="1:5" x14ac:dyDescent="0.25">
      <c r="A1914" s="18">
        <v>1955</v>
      </c>
      <c r="B1914" s="18" t="s">
        <v>68</v>
      </c>
      <c r="C1914" s="18">
        <v>0</v>
      </c>
      <c r="D1914" s="18">
        <v>0</v>
      </c>
      <c r="E1914" s="18">
        <v>0</v>
      </c>
    </row>
    <row r="1915" spans="1:5" x14ac:dyDescent="0.25">
      <c r="A1915" s="18">
        <v>1956</v>
      </c>
      <c r="B1915" s="18" t="s">
        <v>68</v>
      </c>
      <c r="C1915" s="18">
        <v>0</v>
      </c>
      <c r="D1915" s="18">
        <v>0</v>
      </c>
      <c r="E1915" s="18">
        <v>0</v>
      </c>
    </row>
    <row r="1916" spans="1:5" x14ac:dyDescent="0.25">
      <c r="A1916" s="18">
        <v>1957</v>
      </c>
      <c r="B1916" s="18" t="s">
        <v>68</v>
      </c>
      <c r="C1916" s="18">
        <v>0</v>
      </c>
      <c r="D1916" s="18">
        <v>0</v>
      </c>
      <c r="E1916" s="18">
        <v>0</v>
      </c>
    </row>
    <row r="1917" spans="1:5" x14ac:dyDescent="0.25">
      <c r="A1917" s="18">
        <v>1958</v>
      </c>
      <c r="B1917" s="18" t="s">
        <v>68</v>
      </c>
      <c r="C1917" s="18">
        <v>0</v>
      </c>
      <c r="D1917" s="18">
        <v>0</v>
      </c>
      <c r="E1917" s="18">
        <v>0</v>
      </c>
    </row>
    <row r="1918" spans="1:5" x14ac:dyDescent="0.25">
      <c r="A1918" s="18">
        <v>1959</v>
      </c>
      <c r="B1918" s="18" t="s">
        <v>68</v>
      </c>
      <c r="C1918" s="18">
        <v>0</v>
      </c>
      <c r="D1918" s="18">
        <v>0</v>
      </c>
      <c r="E1918" s="18">
        <v>0</v>
      </c>
    </row>
    <row r="1919" spans="1:5" x14ac:dyDescent="0.25">
      <c r="A1919" s="18">
        <v>1960</v>
      </c>
      <c r="B1919" s="18" t="s">
        <v>68</v>
      </c>
      <c r="C1919" s="18">
        <v>0</v>
      </c>
      <c r="D1919" s="18">
        <v>0</v>
      </c>
      <c r="E1919" s="18">
        <v>0</v>
      </c>
    </row>
    <row r="1920" spans="1:5" x14ac:dyDescent="0.25">
      <c r="A1920" s="18">
        <v>1961</v>
      </c>
      <c r="B1920" s="18" t="s">
        <v>68</v>
      </c>
      <c r="C1920" s="18">
        <v>0</v>
      </c>
      <c r="D1920" s="18">
        <v>0</v>
      </c>
      <c r="E1920" s="18">
        <v>0</v>
      </c>
    </row>
    <row r="1921" spans="1:5" x14ac:dyDescent="0.25">
      <c r="A1921" s="18">
        <v>1962</v>
      </c>
      <c r="B1921" s="18" t="s">
        <v>68</v>
      </c>
      <c r="C1921" s="18">
        <v>0</v>
      </c>
      <c r="D1921" s="18">
        <v>0</v>
      </c>
      <c r="E1921" s="18">
        <v>0</v>
      </c>
    </row>
    <row r="1922" spans="1:5" x14ac:dyDescent="0.25">
      <c r="A1922" s="18">
        <v>1963</v>
      </c>
      <c r="B1922" s="18" t="s">
        <v>68</v>
      </c>
      <c r="C1922" s="18">
        <v>0</v>
      </c>
      <c r="D1922" s="18">
        <v>0</v>
      </c>
      <c r="E1922" s="18">
        <v>0</v>
      </c>
    </row>
    <row r="1923" spans="1:5" x14ac:dyDescent="0.25">
      <c r="A1923" s="18">
        <v>1964</v>
      </c>
      <c r="B1923" s="18" t="s">
        <v>68</v>
      </c>
      <c r="C1923" s="18">
        <v>0</v>
      </c>
      <c r="D1923" s="18">
        <v>0</v>
      </c>
      <c r="E1923" s="18">
        <v>0</v>
      </c>
    </row>
    <row r="1924" spans="1:5" x14ac:dyDescent="0.25">
      <c r="A1924" s="18">
        <v>1965</v>
      </c>
      <c r="B1924" s="18" t="s">
        <v>68</v>
      </c>
      <c r="C1924" s="18">
        <v>0</v>
      </c>
      <c r="D1924" s="18">
        <v>0</v>
      </c>
      <c r="E1924" s="18">
        <v>0</v>
      </c>
    </row>
    <row r="1925" spans="1:5" x14ac:dyDescent="0.25">
      <c r="A1925" s="18">
        <v>1966</v>
      </c>
      <c r="B1925" s="18" t="s">
        <v>68</v>
      </c>
      <c r="C1925" s="18">
        <v>0</v>
      </c>
      <c r="D1925" s="18">
        <v>0</v>
      </c>
      <c r="E1925" s="18">
        <v>0</v>
      </c>
    </row>
    <row r="1926" spans="1:5" x14ac:dyDescent="0.25">
      <c r="A1926" s="18">
        <v>1967</v>
      </c>
      <c r="B1926" s="18" t="s">
        <v>68</v>
      </c>
      <c r="C1926" s="18">
        <v>0</v>
      </c>
      <c r="D1926" s="18">
        <v>0</v>
      </c>
      <c r="E1926" s="18">
        <v>0</v>
      </c>
    </row>
    <row r="1927" spans="1:5" x14ac:dyDescent="0.25">
      <c r="A1927" s="18">
        <v>1968</v>
      </c>
      <c r="B1927" s="18" t="s">
        <v>68</v>
      </c>
      <c r="C1927" s="18">
        <v>0</v>
      </c>
      <c r="D1927" s="18">
        <v>0</v>
      </c>
      <c r="E1927" s="18">
        <v>0</v>
      </c>
    </row>
    <row r="1928" spans="1:5" x14ac:dyDescent="0.25">
      <c r="A1928" s="18">
        <v>1969</v>
      </c>
      <c r="B1928" s="18" t="s">
        <v>68</v>
      </c>
      <c r="C1928" s="18">
        <v>0</v>
      </c>
      <c r="D1928" s="18">
        <v>0</v>
      </c>
      <c r="E1928" s="18">
        <v>0</v>
      </c>
    </row>
    <row r="1929" spans="1:5" x14ac:dyDescent="0.25">
      <c r="A1929" s="18">
        <v>1970</v>
      </c>
      <c r="B1929" s="18" t="s">
        <v>68</v>
      </c>
      <c r="C1929" s="18">
        <v>0</v>
      </c>
      <c r="D1929" s="18">
        <v>0</v>
      </c>
      <c r="E1929" s="18">
        <v>0</v>
      </c>
    </row>
    <row r="1930" spans="1:5" x14ac:dyDescent="0.25">
      <c r="A1930" s="18">
        <v>1971</v>
      </c>
      <c r="B1930" s="18" t="s">
        <v>68</v>
      </c>
      <c r="C1930" s="18">
        <v>0</v>
      </c>
      <c r="D1930" s="18">
        <v>0</v>
      </c>
      <c r="E1930" s="18">
        <v>0</v>
      </c>
    </row>
    <row r="1931" spans="1:5" x14ac:dyDescent="0.25">
      <c r="A1931" s="18">
        <v>1972</v>
      </c>
      <c r="B1931" s="18" t="s">
        <v>68</v>
      </c>
      <c r="C1931" s="18">
        <v>0</v>
      </c>
      <c r="D1931" s="18">
        <v>0</v>
      </c>
      <c r="E1931" s="18">
        <v>0</v>
      </c>
    </row>
    <row r="1932" spans="1:5" x14ac:dyDescent="0.25">
      <c r="A1932" s="18">
        <v>1973</v>
      </c>
      <c r="B1932" s="18" t="s">
        <v>68</v>
      </c>
      <c r="C1932" s="18">
        <v>0</v>
      </c>
      <c r="D1932" s="18">
        <v>0</v>
      </c>
      <c r="E1932" s="18">
        <v>0</v>
      </c>
    </row>
    <row r="1933" spans="1:5" x14ac:dyDescent="0.25">
      <c r="A1933" s="18">
        <v>1974</v>
      </c>
      <c r="B1933" s="18" t="s">
        <v>68</v>
      </c>
      <c r="C1933" s="18">
        <v>0</v>
      </c>
      <c r="D1933" s="18">
        <v>0</v>
      </c>
      <c r="E1933" s="18">
        <v>0</v>
      </c>
    </row>
    <row r="1934" spans="1:5" x14ac:dyDescent="0.25">
      <c r="A1934" s="18">
        <v>1975</v>
      </c>
      <c r="B1934" s="18" t="s">
        <v>68</v>
      </c>
      <c r="C1934" s="18">
        <v>1468</v>
      </c>
      <c r="D1934" s="18">
        <v>1844</v>
      </c>
      <c r="E1934" s="18">
        <v>3312</v>
      </c>
    </row>
    <row r="1935" spans="1:5" x14ac:dyDescent="0.25">
      <c r="A1935" s="18">
        <v>1976</v>
      </c>
      <c r="B1935" s="18" t="s">
        <v>68</v>
      </c>
      <c r="C1935" s="18">
        <v>0</v>
      </c>
      <c r="D1935" s="18">
        <v>0</v>
      </c>
      <c r="E1935" s="18">
        <v>0</v>
      </c>
    </row>
    <row r="1936" spans="1:5" x14ac:dyDescent="0.25">
      <c r="A1936" s="18">
        <v>1977</v>
      </c>
      <c r="B1936" s="18" t="s">
        <v>68</v>
      </c>
      <c r="C1936" s="18">
        <v>0</v>
      </c>
      <c r="D1936" s="18">
        <v>0</v>
      </c>
      <c r="E1936" s="18">
        <v>0</v>
      </c>
    </row>
    <row r="1937" spans="1:5" x14ac:dyDescent="0.25">
      <c r="A1937" s="18">
        <v>1978</v>
      </c>
      <c r="B1937" s="18" t="s">
        <v>68</v>
      </c>
      <c r="C1937" s="18">
        <v>0</v>
      </c>
      <c r="D1937" s="18">
        <v>0</v>
      </c>
      <c r="E1937" s="18">
        <v>0</v>
      </c>
    </row>
    <row r="1938" spans="1:5" x14ac:dyDescent="0.25">
      <c r="A1938" s="18">
        <v>1979</v>
      </c>
      <c r="B1938" s="18" t="s">
        <v>68</v>
      </c>
      <c r="C1938" s="18">
        <v>0</v>
      </c>
      <c r="D1938" s="18">
        <v>0</v>
      </c>
      <c r="E1938" s="18">
        <v>0</v>
      </c>
    </row>
    <row r="1939" spans="1:5" x14ac:dyDescent="0.25">
      <c r="A1939" s="18">
        <v>1980</v>
      </c>
      <c r="B1939" s="18" t="s">
        <v>68</v>
      </c>
      <c r="C1939" s="18">
        <v>887</v>
      </c>
      <c r="D1939" s="18">
        <v>900</v>
      </c>
      <c r="E1939" s="18">
        <v>1787</v>
      </c>
    </row>
    <row r="1940" spans="1:5" x14ac:dyDescent="0.25">
      <c r="A1940" s="18">
        <v>1981</v>
      </c>
      <c r="B1940" s="18" t="s">
        <v>68</v>
      </c>
      <c r="C1940" s="18">
        <v>0</v>
      </c>
      <c r="D1940" s="18">
        <v>0</v>
      </c>
      <c r="E1940" s="18">
        <v>0</v>
      </c>
    </row>
    <row r="1941" spans="1:5" x14ac:dyDescent="0.25">
      <c r="A1941" s="18">
        <v>1982</v>
      </c>
      <c r="B1941" s="18" t="s">
        <v>68</v>
      </c>
      <c r="C1941" s="18">
        <v>0</v>
      </c>
      <c r="D1941" s="18">
        <v>0</v>
      </c>
      <c r="E1941" s="18">
        <v>0</v>
      </c>
    </row>
    <row r="1942" spans="1:5" x14ac:dyDescent="0.25">
      <c r="A1942" s="18">
        <v>1983</v>
      </c>
      <c r="B1942" s="18" t="s">
        <v>68</v>
      </c>
      <c r="C1942" s="18">
        <v>0</v>
      </c>
      <c r="D1942" s="18">
        <v>0</v>
      </c>
      <c r="E1942" s="18">
        <v>0</v>
      </c>
    </row>
    <row r="1943" spans="1:5" x14ac:dyDescent="0.25">
      <c r="A1943" s="18">
        <v>1984</v>
      </c>
      <c r="B1943" s="18" t="s">
        <v>68</v>
      </c>
      <c r="C1943" s="18">
        <v>0</v>
      </c>
      <c r="D1943" s="18">
        <v>0</v>
      </c>
      <c r="E1943" s="18">
        <v>0</v>
      </c>
    </row>
    <row r="1944" spans="1:5" x14ac:dyDescent="0.25">
      <c r="A1944" s="18">
        <v>1985</v>
      </c>
      <c r="B1944" s="18" t="s">
        <v>68</v>
      </c>
      <c r="C1944" s="18">
        <v>683</v>
      </c>
      <c r="D1944" s="18">
        <v>776</v>
      </c>
      <c r="E1944" s="18">
        <v>1459</v>
      </c>
    </row>
    <row r="1945" spans="1:5" x14ac:dyDescent="0.25">
      <c r="A1945" s="18">
        <v>1986</v>
      </c>
      <c r="B1945" s="18" t="s">
        <v>68</v>
      </c>
      <c r="C1945" s="18">
        <v>0</v>
      </c>
      <c r="D1945" s="18">
        <v>0</v>
      </c>
      <c r="E1945" s="18">
        <v>0</v>
      </c>
    </row>
    <row r="1946" spans="1:5" x14ac:dyDescent="0.25">
      <c r="A1946" s="18">
        <v>1987</v>
      </c>
      <c r="B1946" s="18" t="s">
        <v>68</v>
      </c>
      <c r="C1946" s="18">
        <v>0</v>
      </c>
      <c r="D1946" s="18">
        <v>0</v>
      </c>
      <c r="E1946" s="18">
        <v>0</v>
      </c>
    </row>
    <row r="1947" spans="1:5" x14ac:dyDescent="0.25">
      <c r="A1947" s="18">
        <v>1988</v>
      </c>
      <c r="B1947" s="18" t="s">
        <v>68</v>
      </c>
      <c r="C1947" s="18">
        <v>0</v>
      </c>
      <c r="D1947" s="18">
        <v>0</v>
      </c>
      <c r="E1947" s="18">
        <v>0</v>
      </c>
    </row>
    <row r="1948" spans="1:5" x14ac:dyDescent="0.25">
      <c r="A1948" s="18">
        <v>1989</v>
      </c>
      <c r="B1948" s="18" t="s">
        <v>68</v>
      </c>
      <c r="C1948" s="18">
        <v>0</v>
      </c>
      <c r="D1948" s="18">
        <v>0</v>
      </c>
      <c r="E1948" s="18">
        <v>0</v>
      </c>
    </row>
    <row r="1949" spans="1:5" x14ac:dyDescent="0.25">
      <c r="A1949" s="18">
        <v>1990</v>
      </c>
      <c r="B1949" s="18" t="s">
        <v>68</v>
      </c>
      <c r="C1949" s="18">
        <v>1084</v>
      </c>
      <c r="D1949" s="18">
        <v>1238</v>
      </c>
      <c r="E1949" s="18">
        <v>2322</v>
      </c>
    </row>
    <row r="1950" spans="1:5" x14ac:dyDescent="0.25">
      <c r="A1950" s="18">
        <v>1991</v>
      </c>
      <c r="B1950" s="18" t="s">
        <v>68</v>
      </c>
      <c r="C1950" s="18">
        <v>0</v>
      </c>
      <c r="D1950" s="18">
        <v>0</v>
      </c>
      <c r="E1950" s="18">
        <v>0</v>
      </c>
    </row>
    <row r="1951" spans="1:5" x14ac:dyDescent="0.25">
      <c r="A1951" s="18">
        <v>1992</v>
      </c>
      <c r="B1951" s="18" t="s">
        <v>68</v>
      </c>
      <c r="C1951" s="18">
        <v>0</v>
      </c>
      <c r="D1951" s="18">
        <v>0</v>
      </c>
      <c r="E1951" s="18">
        <v>0</v>
      </c>
    </row>
    <row r="1952" spans="1:5" x14ac:dyDescent="0.25">
      <c r="A1952" s="18">
        <v>1993</v>
      </c>
      <c r="B1952" s="18" t="s">
        <v>68</v>
      </c>
      <c r="C1952" s="18">
        <v>0</v>
      </c>
      <c r="D1952" s="18">
        <v>0</v>
      </c>
      <c r="E1952" s="18">
        <v>0</v>
      </c>
    </row>
    <row r="1953" spans="1:5" x14ac:dyDescent="0.25">
      <c r="A1953" s="18">
        <v>1994</v>
      </c>
      <c r="B1953" s="18" t="s">
        <v>68</v>
      </c>
      <c r="C1953" s="18">
        <v>0</v>
      </c>
      <c r="D1953" s="18">
        <v>0</v>
      </c>
      <c r="E1953" s="18">
        <v>0</v>
      </c>
    </row>
    <row r="1954" spans="1:5" x14ac:dyDescent="0.25">
      <c r="A1954" s="18">
        <v>1995</v>
      </c>
      <c r="B1954" s="18" t="s">
        <v>68</v>
      </c>
      <c r="C1954" s="18">
        <v>0</v>
      </c>
      <c r="D1954" s="18">
        <v>0</v>
      </c>
      <c r="E1954" s="18">
        <v>0</v>
      </c>
    </row>
    <row r="1955" spans="1:5" x14ac:dyDescent="0.25">
      <c r="A1955" s="18">
        <v>1996</v>
      </c>
      <c r="B1955" s="18" t="s">
        <v>68</v>
      </c>
      <c r="C1955" s="18">
        <v>0</v>
      </c>
      <c r="D1955" s="18">
        <v>0</v>
      </c>
      <c r="E1955" s="18">
        <v>0</v>
      </c>
    </row>
    <row r="1956" spans="1:5" x14ac:dyDescent="0.25">
      <c r="A1956" s="18">
        <v>1997</v>
      </c>
      <c r="B1956" s="18" t="s">
        <v>68</v>
      </c>
      <c r="C1956" s="18">
        <v>0</v>
      </c>
      <c r="D1956" s="18">
        <v>0</v>
      </c>
      <c r="E1956" s="18">
        <v>0</v>
      </c>
    </row>
    <row r="1957" spans="1:5" x14ac:dyDescent="0.25">
      <c r="A1957" s="18">
        <v>1998</v>
      </c>
      <c r="B1957" s="18" t="s">
        <v>68</v>
      </c>
      <c r="C1957" s="18">
        <v>0</v>
      </c>
      <c r="D1957" s="18">
        <v>0</v>
      </c>
      <c r="E1957" s="18">
        <v>0</v>
      </c>
    </row>
    <row r="1958" spans="1:5" x14ac:dyDescent="0.25">
      <c r="A1958" s="18">
        <v>1999</v>
      </c>
      <c r="B1958" s="18" t="s">
        <v>68</v>
      </c>
      <c r="C1958" s="18">
        <v>0</v>
      </c>
      <c r="D1958" s="18">
        <v>0</v>
      </c>
      <c r="E1958" s="18">
        <v>0</v>
      </c>
    </row>
    <row r="1959" spans="1:5" x14ac:dyDescent="0.25">
      <c r="A1959" s="18">
        <v>2000</v>
      </c>
      <c r="B1959" s="18" t="s">
        <v>68</v>
      </c>
      <c r="C1959" s="18">
        <v>1770</v>
      </c>
      <c r="D1959" s="18">
        <v>1845</v>
      </c>
      <c r="E1959" s="18">
        <v>3617</v>
      </c>
    </row>
    <row r="1960" spans="1:5" x14ac:dyDescent="0.25">
      <c r="A1960" s="18">
        <v>2001</v>
      </c>
      <c r="B1960" s="18" t="s">
        <v>68</v>
      </c>
      <c r="C1960" s="18">
        <v>0</v>
      </c>
      <c r="D1960" s="18">
        <v>0</v>
      </c>
      <c r="E1960" s="18">
        <v>0</v>
      </c>
    </row>
    <row r="1961" spans="1:5" x14ac:dyDescent="0.25">
      <c r="A1961" s="18">
        <v>2002</v>
      </c>
      <c r="B1961" s="18" t="s">
        <v>68</v>
      </c>
      <c r="C1961" s="18">
        <v>0</v>
      </c>
      <c r="D1961" s="18">
        <v>0</v>
      </c>
      <c r="E1961" s="18">
        <v>0</v>
      </c>
    </row>
    <row r="1962" spans="1:5" x14ac:dyDescent="0.25">
      <c r="A1962" s="18">
        <v>2003</v>
      </c>
      <c r="B1962" s="18" t="s">
        <v>68</v>
      </c>
      <c r="C1962" s="18">
        <v>0</v>
      </c>
      <c r="D1962" s="18">
        <v>0</v>
      </c>
      <c r="E1962" s="18">
        <v>0</v>
      </c>
    </row>
    <row r="1963" spans="1:5" x14ac:dyDescent="0.25">
      <c r="A1963" s="18">
        <v>2004</v>
      </c>
      <c r="B1963" s="18" t="s">
        <v>68</v>
      </c>
      <c r="C1963" s="18">
        <v>0</v>
      </c>
      <c r="D1963" s="18">
        <v>0</v>
      </c>
      <c r="E1963" s="18">
        <v>0</v>
      </c>
    </row>
    <row r="1964" spans="1:5" x14ac:dyDescent="0.25">
      <c r="A1964" s="18">
        <v>2005</v>
      </c>
      <c r="B1964" s="18" t="s">
        <v>68</v>
      </c>
      <c r="C1964" s="18">
        <v>0</v>
      </c>
      <c r="D1964" s="18">
        <v>0</v>
      </c>
      <c r="E1964" s="18">
        <v>0</v>
      </c>
    </row>
    <row r="1965" spans="1:5" x14ac:dyDescent="0.25">
      <c r="A1965" s="18">
        <v>2006</v>
      </c>
      <c r="B1965" s="18" t="s">
        <v>68</v>
      </c>
      <c r="C1965" s="18">
        <v>0</v>
      </c>
      <c r="D1965" s="18">
        <v>0</v>
      </c>
      <c r="E1965" s="18">
        <v>0</v>
      </c>
    </row>
    <row r="1966" spans="1:5" x14ac:dyDescent="0.25">
      <c r="A1966" s="18">
        <v>2007</v>
      </c>
      <c r="B1966" s="18" t="s">
        <v>68</v>
      </c>
      <c r="C1966" s="18">
        <v>0</v>
      </c>
      <c r="D1966" s="18">
        <v>0</v>
      </c>
      <c r="E1966" s="18">
        <v>0</v>
      </c>
    </row>
    <row r="1967" spans="1:5" x14ac:dyDescent="0.25">
      <c r="A1967" s="18">
        <v>2008</v>
      </c>
      <c r="B1967" s="18" t="s">
        <v>68</v>
      </c>
      <c r="C1967" s="18">
        <v>0</v>
      </c>
      <c r="D1967" s="18">
        <v>0</v>
      </c>
      <c r="E1967" s="18">
        <v>0</v>
      </c>
    </row>
    <row r="1968" spans="1:5" x14ac:dyDescent="0.25">
      <c r="A1968" s="18">
        <v>1950</v>
      </c>
      <c r="B1968" s="18" t="s">
        <v>69</v>
      </c>
      <c r="C1968" s="18">
        <v>0</v>
      </c>
      <c r="D1968" s="18">
        <v>0</v>
      </c>
      <c r="E1968" s="18">
        <v>0</v>
      </c>
    </row>
    <row r="1969" spans="1:5" x14ac:dyDescent="0.25">
      <c r="A1969" s="18">
        <v>1951</v>
      </c>
      <c r="B1969" s="18" t="s">
        <v>69</v>
      </c>
      <c r="C1969" s="18">
        <v>0</v>
      </c>
      <c r="D1969" s="18">
        <v>0</v>
      </c>
      <c r="E1969" s="18">
        <v>0</v>
      </c>
    </row>
    <row r="1970" spans="1:5" x14ac:dyDescent="0.25">
      <c r="A1970" s="18">
        <v>1952</v>
      </c>
      <c r="B1970" s="18" t="s">
        <v>69</v>
      </c>
      <c r="C1970" s="18">
        <v>0</v>
      </c>
      <c r="D1970" s="18">
        <v>0</v>
      </c>
      <c r="E1970" s="18">
        <v>0</v>
      </c>
    </row>
    <row r="1971" spans="1:5" x14ac:dyDescent="0.25">
      <c r="A1971" s="18">
        <v>1953</v>
      </c>
      <c r="B1971" s="18" t="s">
        <v>69</v>
      </c>
      <c r="C1971" s="18">
        <v>0</v>
      </c>
      <c r="D1971" s="18">
        <v>0</v>
      </c>
      <c r="E1971" s="18">
        <v>0</v>
      </c>
    </row>
    <row r="1972" spans="1:5" x14ac:dyDescent="0.25">
      <c r="A1972" s="18">
        <v>1954</v>
      </c>
      <c r="B1972" s="18" t="s">
        <v>69</v>
      </c>
      <c r="C1972" s="18">
        <v>0</v>
      </c>
      <c r="D1972" s="18">
        <v>0</v>
      </c>
      <c r="E1972" s="18">
        <v>0</v>
      </c>
    </row>
    <row r="1973" spans="1:5" x14ac:dyDescent="0.25">
      <c r="A1973" s="18">
        <v>1955</v>
      </c>
      <c r="B1973" s="18" t="s">
        <v>69</v>
      </c>
      <c r="C1973" s="18">
        <v>0</v>
      </c>
      <c r="D1973" s="18">
        <v>0</v>
      </c>
      <c r="E1973" s="18">
        <v>0</v>
      </c>
    </row>
    <row r="1974" spans="1:5" x14ac:dyDescent="0.25">
      <c r="A1974" s="18">
        <v>1956</v>
      </c>
      <c r="B1974" s="18" t="s">
        <v>69</v>
      </c>
      <c r="C1974" s="18">
        <v>0</v>
      </c>
      <c r="D1974" s="18">
        <v>0</v>
      </c>
      <c r="E1974" s="18">
        <v>0</v>
      </c>
    </row>
    <row r="1975" spans="1:5" x14ac:dyDescent="0.25">
      <c r="A1975" s="18">
        <v>1957</v>
      </c>
      <c r="B1975" s="18" t="s">
        <v>69</v>
      </c>
      <c r="C1975" s="18">
        <v>0</v>
      </c>
      <c r="D1975" s="18">
        <v>0</v>
      </c>
      <c r="E1975" s="18">
        <v>0</v>
      </c>
    </row>
    <row r="1976" spans="1:5" x14ac:dyDescent="0.25">
      <c r="A1976" s="18">
        <v>1958</v>
      </c>
      <c r="B1976" s="18" t="s">
        <v>69</v>
      </c>
      <c r="C1976" s="18">
        <v>0</v>
      </c>
      <c r="D1976" s="18">
        <v>0</v>
      </c>
      <c r="E1976" s="18">
        <v>0</v>
      </c>
    </row>
    <row r="1977" spans="1:5" x14ac:dyDescent="0.25">
      <c r="A1977" s="18">
        <v>1959</v>
      </c>
      <c r="B1977" s="18" t="s">
        <v>69</v>
      </c>
      <c r="C1977" s="18">
        <v>0</v>
      </c>
      <c r="D1977" s="18">
        <v>0</v>
      </c>
      <c r="E1977" s="18">
        <v>0</v>
      </c>
    </row>
    <row r="1978" spans="1:5" x14ac:dyDescent="0.25">
      <c r="A1978" s="18">
        <v>1960</v>
      </c>
      <c r="B1978" s="18" t="s">
        <v>69</v>
      </c>
      <c r="C1978" s="18">
        <v>0</v>
      </c>
      <c r="D1978" s="18">
        <v>0</v>
      </c>
      <c r="E1978" s="18">
        <v>0</v>
      </c>
    </row>
    <row r="1979" spans="1:5" x14ac:dyDescent="0.25">
      <c r="A1979" s="18">
        <v>1961</v>
      </c>
      <c r="B1979" s="18" t="s">
        <v>69</v>
      </c>
      <c r="C1979" s="18">
        <v>0</v>
      </c>
      <c r="D1979" s="18">
        <v>0</v>
      </c>
      <c r="E1979" s="18">
        <v>0</v>
      </c>
    </row>
    <row r="1980" spans="1:5" x14ac:dyDescent="0.25">
      <c r="A1980" s="18">
        <v>1962</v>
      </c>
      <c r="B1980" s="18" t="s">
        <v>69</v>
      </c>
      <c r="C1980" s="18">
        <v>0</v>
      </c>
      <c r="D1980" s="18">
        <v>0</v>
      </c>
      <c r="E1980" s="18">
        <v>0</v>
      </c>
    </row>
    <row r="1981" spans="1:5" x14ac:dyDescent="0.25">
      <c r="A1981" s="18">
        <v>1963</v>
      </c>
      <c r="B1981" s="18" t="s">
        <v>69</v>
      </c>
      <c r="C1981" s="18">
        <v>0</v>
      </c>
      <c r="D1981" s="18">
        <v>0</v>
      </c>
      <c r="E1981" s="18">
        <v>0</v>
      </c>
    </row>
    <row r="1982" spans="1:5" x14ac:dyDescent="0.25">
      <c r="A1982" s="18">
        <v>1964</v>
      </c>
      <c r="B1982" s="18" t="s">
        <v>69</v>
      </c>
      <c r="C1982" s="18">
        <v>0</v>
      </c>
      <c r="D1982" s="18">
        <v>0</v>
      </c>
      <c r="E1982" s="18">
        <v>0</v>
      </c>
    </row>
    <row r="1983" spans="1:5" x14ac:dyDescent="0.25">
      <c r="A1983" s="18">
        <v>1965</v>
      </c>
      <c r="B1983" s="18" t="s">
        <v>69</v>
      </c>
      <c r="C1983" s="18">
        <v>0</v>
      </c>
      <c r="D1983" s="18">
        <v>0</v>
      </c>
      <c r="E1983" s="18">
        <v>0</v>
      </c>
    </row>
    <row r="1984" spans="1:5" x14ac:dyDescent="0.25">
      <c r="A1984" s="18">
        <v>1966</v>
      </c>
      <c r="B1984" s="18" t="s">
        <v>69</v>
      </c>
      <c r="C1984" s="18">
        <v>0</v>
      </c>
      <c r="D1984" s="18">
        <v>0</v>
      </c>
      <c r="E1984" s="18">
        <v>0</v>
      </c>
    </row>
    <row r="1985" spans="1:5" x14ac:dyDescent="0.25">
      <c r="A1985" s="18">
        <v>1967</v>
      </c>
      <c r="B1985" s="18" t="s">
        <v>69</v>
      </c>
      <c r="C1985" s="18">
        <v>0</v>
      </c>
      <c r="D1985" s="18">
        <v>0</v>
      </c>
      <c r="E1985" s="18">
        <v>0</v>
      </c>
    </row>
    <row r="1986" spans="1:5" x14ac:dyDescent="0.25">
      <c r="A1986" s="18">
        <v>1968</v>
      </c>
      <c r="B1986" s="18" t="s">
        <v>69</v>
      </c>
      <c r="C1986" s="18">
        <v>0</v>
      </c>
      <c r="D1986" s="18">
        <v>0</v>
      </c>
      <c r="E1986" s="18">
        <v>0</v>
      </c>
    </row>
    <row r="1987" spans="1:5" x14ac:dyDescent="0.25">
      <c r="A1987" s="18">
        <v>1969</v>
      </c>
      <c r="B1987" s="18" t="s">
        <v>69</v>
      </c>
      <c r="C1987" s="18">
        <v>0</v>
      </c>
      <c r="D1987" s="18">
        <v>0</v>
      </c>
      <c r="E1987" s="18">
        <v>0</v>
      </c>
    </row>
    <row r="1988" spans="1:5" x14ac:dyDescent="0.25">
      <c r="A1988" s="18">
        <v>1970</v>
      </c>
      <c r="B1988" s="18" t="s">
        <v>69</v>
      </c>
      <c r="C1988" s="18">
        <v>0</v>
      </c>
      <c r="D1988" s="18">
        <v>0</v>
      </c>
      <c r="E1988" s="18">
        <v>0</v>
      </c>
    </row>
    <row r="1989" spans="1:5" x14ac:dyDescent="0.25">
      <c r="A1989" s="18">
        <v>1971</v>
      </c>
      <c r="B1989" s="18" t="s">
        <v>69</v>
      </c>
      <c r="C1989" s="18">
        <v>0</v>
      </c>
      <c r="D1989" s="18">
        <v>0</v>
      </c>
      <c r="E1989" s="18">
        <v>0</v>
      </c>
    </row>
    <row r="1990" spans="1:5" x14ac:dyDescent="0.25">
      <c r="A1990" s="18">
        <v>1972</v>
      </c>
      <c r="B1990" s="18" t="s">
        <v>69</v>
      </c>
      <c r="C1990" s="18">
        <v>0</v>
      </c>
      <c r="D1990" s="18">
        <v>0</v>
      </c>
      <c r="E1990" s="18">
        <v>0</v>
      </c>
    </row>
    <row r="1991" spans="1:5" x14ac:dyDescent="0.25">
      <c r="A1991" s="18">
        <v>1973</v>
      </c>
      <c r="B1991" s="18" t="s">
        <v>69</v>
      </c>
      <c r="C1991" s="18">
        <v>0</v>
      </c>
      <c r="D1991" s="18">
        <v>0</v>
      </c>
      <c r="E1991" s="18">
        <v>0</v>
      </c>
    </row>
    <row r="1992" spans="1:5" x14ac:dyDescent="0.25">
      <c r="A1992" s="18">
        <v>1974</v>
      </c>
      <c r="B1992" s="18" t="s">
        <v>69</v>
      </c>
      <c r="C1992" s="18">
        <v>0</v>
      </c>
      <c r="D1992" s="18">
        <v>0</v>
      </c>
      <c r="E1992" s="18">
        <v>0</v>
      </c>
    </row>
    <row r="1993" spans="1:5" x14ac:dyDescent="0.25">
      <c r="A1993" s="18">
        <v>1975</v>
      </c>
      <c r="B1993" s="18" t="s">
        <v>69</v>
      </c>
      <c r="C1993" s="18">
        <v>1284</v>
      </c>
      <c r="D1993" s="18">
        <v>1501</v>
      </c>
      <c r="E1993" s="18">
        <v>2785</v>
      </c>
    </row>
    <row r="1994" spans="1:5" x14ac:dyDescent="0.25">
      <c r="A1994" s="18">
        <v>1976</v>
      </c>
      <c r="B1994" s="18" t="s">
        <v>69</v>
      </c>
      <c r="C1994" s="18">
        <v>0</v>
      </c>
      <c r="D1994" s="18">
        <v>0</v>
      </c>
      <c r="E1994" s="18">
        <v>0</v>
      </c>
    </row>
    <row r="1995" spans="1:5" x14ac:dyDescent="0.25">
      <c r="A1995" s="18">
        <v>1977</v>
      </c>
      <c r="B1995" s="18" t="s">
        <v>69</v>
      </c>
      <c r="C1995" s="18">
        <v>0</v>
      </c>
      <c r="D1995" s="18">
        <v>0</v>
      </c>
      <c r="E1995" s="18">
        <v>0</v>
      </c>
    </row>
    <row r="1996" spans="1:5" x14ac:dyDescent="0.25">
      <c r="A1996" s="18">
        <v>1978</v>
      </c>
      <c r="B1996" s="18" t="s">
        <v>69</v>
      </c>
      <c r="C1996" s="18">
        <v>0</v>
      </c>
      <c r="D1996" s="18">
        <v>0</v>
      </c>
      <c r="E1996" s="18">
        <v>0</v>
      </c>
    </row>
    <row r="1997" spans="1:5" x14ac:dyDescent="0.25">
      <c r="A1997" s="18">
        <v>1979</v>
      </c>
      <c r="B1997" s="18" t="s">
        <v>69</v>
      </c>
      <c r="C1997" s="18">
        <v>0</v>
      </c>
      <c r="D1997" s="18">
        <v>0</v>
      </c>
      <c r="E1997" s="18">
        <v>0</v>
      </c>
    </row>
    <row r="1998" spans="1:5" x14ac:dyDescent="0.25">
      <c r="A1998" s="18">
        <v>1980</v>
      </c>
      <c r="B1998" s="18" t="s">
        <v>69</v>
      </c>
      <c r="C1998" s="18">
        <v>850</v>
      </c>
      <c r="D1998" s="18">
        <v>957</v>
      </c>
      <c r="E1998" s="18">
        <v>1807</v>
      </c>
    </row>
    <row r="1999" spans="1:5" x14ac:dyDescent="0.25">
      <c r="A1999" s="18">
        <v>1981</v>
      </c>
      <c r="B1999" s="18" t="s">
        <v>69</v>
      </c>
      <c r="C1999" s="18">
        <v>0</v>
      </c>
      <c r="D1999" s="18">
        <v>0</v>
      </c>
      <c r="E1999" s="18">
        <v>0</v>
      </c>
    </row>
    <row r="2000" spans="1:5" x14ac:dyDescent="0.25">
      <c r="A2000" s="18">
        <v>1982</v>
      </c>
      <c r="B2000" s="18" t="s">
        <v>69</v>
      </c>
      <c r="C2000" s="18">
        <v>0</v>
      </c>
      <c r="D2000" s="18">
        <v>0</v>
      </c>
      <c r="E2000" s="18">
        <v>0</v>
      </c>
    </row>
    <row r="2001" spans="1:5" x14ac:dyDescent="0.25">
      <c r="A2001" s="18">
        <v>1983</v>
      </c>
      <c r="B2001" s="18" t="s">
        <v>69</v>
      </c>
      <c r="C2001" s="18">
        <v>0</v>
      </c>
      <c r="D2001" s="18">
        <v>0</v>
      </c>
      <c r="E2001" s="18">
        <v>0</v>
      </c>
    </row>
    <row r="2002" spans="1:5" x14ac:dyDescent="0.25">
      <c r="A2002" s="18">
        <v>1984</v>
      </c>
      <c r="B2002" s="18" t="s">
        <v>69</v>
      </c>
      <c r="C2002" s="18">
        <v>0</v>
      </c>
      <c r="D2002" s="18">
        <v>0</v>
      </c>
      <c r="E2002" s="18">
        <v>0</v>
      </c>
    </row>
    <row r="2003" spans="1:5" x14ac:dyDescent="0.25">
      <c r="A2003" s="18">
        <v>1985</v>
      </c>
      <c r="B2003" s="18" t="s">
        <v>69</v>
      </c>
      <c r="C2003" s="18">
        <v>897</v>
      </c>
      <c r="D2003" s="18">
        <v>955</v>
      </c>
      <c r="E2003" s="18">
        <v>1852</v>
      </c>
    </row>
    <row r="2004" spans="1:5" x14ac:dyDescent="0.25">
      <c r="A2004" s="18">
        <v>1986</v>
      </c>
      <c r="B2004" s="18" t="s">
        <v>69</v>
      </c>
      <c r="C2004" s="18">
        <v>0</v>
      </c>
      <c r="D2004" s="18">
        <v>0</v>
      </c>
      <c r="E2004" s="18">
        <v>0</v>
      </c>
    </row>
    <row r="2005" spans="1:5" x14ac:dyDescent="0.25">
      <c r="A2005" s="18">
        <v>1987</v>
      </c>
      <c r="B2005" s="18" t="s">
        <v>69</v>
      </c>
      <c r="C2005" s="18">
        <v>0</v>
      </c>
      <c r="D2005" s="18">
        <v>0</v>
      </c>
      <c r="E2005" s="18">
        <v>0</v>
      </c>
    </row>
    <row r="2006" spans="1:5" x14ac:dyDescent="0.25">
      <c r="A2006" s="18">
        <v>1988</v>
      </c>
      <c r="B2006" s="18" t="s">
        <v>69</v>
      </c>
      <c r="C2006" s="18">
        <v>0</v>
      </c>
      <c r="D2006" s="18">
        <v>0</v>
      </c>
      <c r="E2006" s="18">
        <v>0</v>
      </c>
    </row>
    <row r="2007" spans="1:5" x14ac:dyDescent="0.25">
      <c r="A2007" s="18">
        <v>1989</v>
      </c>
      <c r="B2007" s="18" t="s">
        <v>69</v>
      </c>
      <c r="C2007" s="18">
        <v>0</v>
      </c>
      <c r="D2007" s="18">
        <v>0</v>
      </c>
      <c r="E2007" s="18">
        <v>0</v>
      </c>
    </row>
    <row r="2008" spans="1:5" x14ac:dyDescent="0.25">
      <c r="A2008" s="18">
        <v>1990</v>
      </c>
      <c r="B2008" s="18" t="s">
        <v>69</v>
      </c>
      <c r="C2008" s="18">
        <v>1008</v>
      </c>
      <c r="D2008" s="18">
        <v>1007</v>
      </c>
      <c r="E2008" s="18">
        <v>2015</v>
      </c>
    </row>
    <row r="2009" spans="1:5" x14ac:dyDescent="0.25">
      <c r="A2009" s="18">
        <v>1991</v>
      </c>
      <c r="B2009" s="18" t="s">
        <v>69</v>
      </c>
      <c r="C2009" s="18">
        <v>0</v>
      </c>
      <c r="D2009" s="18">
        <v>0</v>
      </c>
      <c r="E2009" s="18">
        <v>0</v>
      </c>
    </row>
    <row r="2010" spans="1:5" x14ac:dyDescent="0.25">
      <c r="A2010" s="18">
        <v>1992</v>
      </c>
      <c r="B2010" s="18" t="s">
        <v>69</v>
      </c>
      <c r="C2010" s="18">
        <v>0</v>
      </c>
      <c r="D2010" s="18">
        <v>0</v>
      </c>
      <c r="E2010" s="18">
        <v>0</v>
      </c>
    </row>
    <row r="2011" spans="1:5" x14ac:dyDescent="0.25">
      <c r="A2011" s="18">
        <v>1993</v>
      </c>
      <c r="B2011" s="18" t="s">
        <v>69</v>
      </c>
      <c r="C2011" s="18">
        <v>0</v>
      </c>
      <c r="D2011" s="18">
        <v>0</v>
      </c>
      <c r="E2011" s="18">
        <v>0</v>
      </c>
    </row>
    <row r="2012" spans="1:5" x14ac:dyDescent="0.25">
      <c r="A2012" s="18">
        <v>1994</v>
      </c>
      <c r="B2012" s="18" t="s">
        <v>69</v>
      </c>
      <c r="C2012" s="18">
        <v>0</v>
      </c>
      <c r="D2012" s="18">
        <v>0</v>
      </c>
      <c r="E2012" s="18">
        <v>0</v>
      </c>
    </row>
    <row r="2013" spans="1:5" x14ac:dyDescent="0.25">
      <c r="A2013" s="18">
        <v>1995</v>
      </c>
      <c r="B2013" s="18" t="s">
        <v>69</v>
      </c>
      <c r="C2013" s="18">
        <v>0</v>
      </c>
      <c r="D2013" s="18">
        <v>0</v>
      </c>
      <c r="E2013" s="18">
        <v>0</v>
      </c>
    </row>
    <row r="2014" spans="1:5" x14ac:dyDescent="0.25">
      <c r="A2014" s="18">
        <v>1996</v>
      </c>
      <c r="B2014" s="18" t="s">
        <v>69</v>
      </c>
      <c r="C2014" s="18">
        <v>0</v>
      </c>
      <c r="D2014" s="18">
        <v>0</v>
      </c>
      <c r="E2014" s="18">
        <v>0</v>
      </c>
    </row>
    <row r="2015" spans="1:5" x14ac:dyDescent="0.25">
      <c r="A2015" s="18">
        <v>1997</v>
      </c>
      <c r="B2015" s="18" t="s">
        <v>69</v>
      </c>
      <c r="C2015" s="18">
        <v>0</v>
      </c>
      <c r="D2015" s="18">
        <v>0</v>
      </c>
      <c r="E2015" s="18">
        <v>0</v>
      </c>
    </row>
    <row r="2016" spans="1:5" x14ac:dyDescent="0.25">
      <c r="A2016" s="18">
        <v>1998</v>
      </c>
      <c r="B2016" s="18" t="s">
        <v>69</v>
      </c>
      <c r="C2016" s="18">
        <v>0</v>
      </c>
      <c r="D2016" s="18">
        <v>0</v>
      </c>
      <c r="E2016" s="18">
        <v>0</v>
      </c>
    </row>
    <row r="2017" spans="1:5" x14ac:dyDescent="0.25">
      <c r="A2017" s="18">
        <v>1999</v>
      </c>
      <c r="B2017" s="18" t="s">
        <v>69</v>
      </c>
      <c r="C2017" s="18">
        <v>0</v>
      </c>
      <c r="D2017" s="18">
        <v>0</v>
      </c>
      <c r="E2017" s="18">
        <v>0</v>
      </c>
    </row>
    <row r="2018" spans="1:5" x14ac:dyDescent="0.25">
      <c r="A2018" s="18">
        <v>2000</v>
      </c>
      <c r="B2018" s="18" t="s">
        <v>69</v>
      </c>
      <c r="C2018" s="18">
        <v>1315</v>
      </c>
      <c r="D2018" s="18">
        <v>1323</v>
      </c>
      <c r="E2018" s="18">
        <v>2638</v>
      </c>
    </row>
    <row r="2019" spans="1:5" x14ac:dyDescent="0.25">
      <c r="A2019" s="18">
        <v>2001</v>
      </c>
      <c r="B2019" s="18" t="s">
        <v>69</v>
      </c>
      <c r="C2019" s="18">
        <v>0</v>
      </c>
      <c r="D2019" s="18">
        <v>0</v>
      </c>
      <c r="E2019" s="18">
        <v>0</v>
      </c>
    </row>
    <row r="2020" spans="1:5" x14ac:dyDescent="0.25">
      <c r="A2020" s="18">
        <v>2002</v>
      </c>
      <c r="B2020" s="18" t="s">
        <v>69</v>
      </c>
      <c r="C2020" s="18">
        <v>0</v>
      </c>
      <c r="D2020" s="18">
        <v>0</v>
      </c>
      <c r="E2020" s="18">
        <v>0</v>
      </c>
    </row>
    <row r="2021" spans="1:5" x14ac:dyDescent="0.25">
      <c r="A2021" s="18">
        <v>2003</v>
      </c>
      <c r="B2021" s="18" t="s">
        <v>69</v>
      </c>
      <c r="C2021" s="18">
        <v>0</v>
      </c>
      <c r="D2021" s="18">
        <v>0</v>
      </c>
      <c r="E2021" s="18">
        <v>0</v>
      </c>
    </row>
    <row r="2022" spans="1:5" x14ac:dyDescent="0.25">
      <c r="A2022" s="18">
        <v>2004</v>
      </c>
      <c r="B2022" s="18" t="s">
        <v>69</v>
      </c>
      <c r="C2022" s="18">
        <v>0</v>
      </c>
      <c r="D2022" s="18">
        <v>0</v>
      </c>
      <c r="E2022" s="18">
        <v>0</v>
      </c>
    </row>
    <row r="2023" spans="1:5" x14ac:dyDescent="0.25">
      <c r="A2023" s="18">
        <v>2005</v>
      </c>
      <c r="B2023" s="18" t="s">
        <v>69</v>
      </c>
      <c r="C2023" s="18">
        <v>0</v>
      </c>
      <c r="D2023" s="18">
        <v>0</v>
      </c>
      <c r="E2023" s="18">
        <v>0</v>
      </c>
    </row>
    <row r="2024" spans="1:5" x14ac:dyDescent="0.25">
      <c r="A2024" s="18">
        <v>2006</v>
      </c>
      <c r="B2024" s="18" t="s">
        <v>69</v>
      </c>
      <c r="C2024" s="18">
        <v>0</v>
      </c>
      <c r="D2024" s="18">
        <v>0</v>
      </c>
      <c r="E2024" s="18">
        <v>0</v>
      </c>
    </row>
    <row r="2025" spans="1:5" x14ac:dyDescent="0.25">
      <c r="A2025" s="18">
        <v>2007</v>
      </c>
      <c r="B2025" s="18" t="s">
        <v>69</v>
      </c>
      <c r="C2025" s="18">
        <v>0</v>
      </c>
      <c r="D2025" s="18">
        <v>0</v>
      </c>
      <c r="E2025" s="18">
        <v>0</v>
      </c>
    </row>
    <row r="2026" spans="1:5" x14ac:dyDescent="0.25">
      <c r="A2026" s="18">
        <v>2008</v>
      </c>
      <c r="B2026" s="18" t="s">
        <v>69</v>
      </c>
      <c r="C2026" s="18">
        <v>0</v>
      </c>
      <c r="D2026" s="18">
        <v>0</v>
      </c>
      <c r="E2026" s="18">
        <v>0</v>
      </c>
    </row>
    <row r="2027" spans="1:5" x14ac:dyDescent="0.25">
      <c r="A2027" s="18">
        <v>1950</v>
      </c>
      <c r="B2027" s="18" t="s">
        <v>70</v>
      </c>
      <c r="C2027" s="18">
        <v>0</v>
      </c>
      <c r="D2027" s="18">
        <v>0</v>
      </c>
      <c r="E2027" s="18">
        <v>0</v>
      </c>
    </row>
    <row r="2028" spans="1:5" x14ac:dyDescent="0.25">
      <c r="A2028" s="18">
        <v>1951</v>
      </c>
      <c r="B2028" s="18" t="s">
        <v>70</v>
      </c>
      <c r="C2028" s="18">
        <v>0</v>
      </c>
      <c r="D2028" s="18">
        <v>0</v>
      </c>
      <c r="E2028" s="18">
        <v>0</v>
      </c>
    </row>
    <row r="2029" spans="1:5" x14ac:dyDescent="0.25">
      <c r="A2029" s="18">
        <v>1952</v>
      </c>
      <c r="B2029" s="18" t="s">
        <v>70</v>
      </c>
      <c r="C2029" s="18">
        <v>0</v>
      </c>
      <c r="D2029" s="18">
        <v>0</v>
      </c>
      <c r="E2029" s="18">
        <v>0</v>
      </c>
    </row>
    <row r="2030" spans="1:5" x14ac:dyDescent="0.25">
      <c r="A2030" s="18">
        <v>1953</v>
      </c>
      <c r="B2030" s="18" t="s">
        <v>70</v>
      </c>
      <c r="C2030" s="18">
        <v>0</v>
      </c>
      <c r="D2030" s="18">
        <v>0</v>
      </c>
      <c r="E2030" s="18">
        <v>0</v>
      </c>
    </row>
    <row r="2031" spans="1:5" x14ac:dyDescent="0.25">
      <c r="A2031" s="18">
        <v>1954</v>
      </c>
      <c r="B2031" s="18" t="s">
        <v>70</v>
      </c>
      <c r="C2031" s="18">
        <v>0</v>
      </c>
      <c r="D2031" s="18">
        <v>0</v>
      </c>
      <c r="E2031" s="18">
        <v>0</v>
      </c>
    </row>
    <row r="2032" spans="1:5" x14ac:dyDescent="0.25">
      <c r="A2032" s="18">
        <v>1955</v>
      </c>
      <c r="B2032" s="18" t="s">
        <v>70</v>
      </c>
      <c r="C2032" s="18">
        <v>0</v>
      </c>
      <c r="D2032" s="18">
        <v>0</v>
      </c>
      <c r="E2032" s="18">
        <v>0</v>
      </c>
    </row>
    <row r="2033" spans="1:5" x14ac:dyDescent="0.25">
      <c r="A2033" s="18">
        <v>1956</v>
      </c>
      <c r="B2033" s="18" t="s">
        <v>70</v>
      </c>
      <c r="C2033" s="18">
        <v>0</v>
      </c>
      <c r="D2033" s="18">
        <v>0</v>
      </c>
      <c r="E2033" s="18">
        <v>0</v>
      </c>
    </row>
    <row r="2034" spans="1:5" x14ac:dyDescent="0.25">
      <c r="A2034" s="18">
        <v>1957</v>
      </c>
      <c r="B2034" s="18" t="s">
        <v>70</v>
      </c>
      <c r="C2034" s="18">
        <v>0</v>
      </c>
      <c r="D2034" s="18">
        <v>0</v>
      </c>
      <c r="E2034" s="18">
        <v>0</v>
      </c>
    </row>
    <row r="2035" spans="1:5" x14ac:dyDescent="0.25">
      <c r="A2035" s="18">
        <v>1958</v>
      </c>
      <c r="B2035" s="18" t="s">
        <v>70</v>
      </c>
      <c r="C2035" s="18">
        <v>0</v>
      </c>
      <c r="D2035" s="18">
        <v>0</v>
      </c>
      <c r="E2035" s="18">
        <v>0</v>
      </c>
    </row>
    <row r="2036" spans="1:5" x14ac:dyDescent="0.25">
      <c r="A2036" s="18">
        <v>1959</v>
      </c>
      <c r="B2036" s="18" t="s">
        <v>70</v>
      </c>
      <c r="C2036" s="18">
        <v>0</v>
      </c>
      <c r="D2036" s="18">
        <v>0</v>
      </c>
      <c r="E2036" s="18">
        <v>0</v>
      </c>
    </row>
    <row r="2037" spans="1:5" x14ac:dyDescent="0.25">
      <c r="A2037" s="18">
        <v>1960</v>
      </c>
      <c r="B2037" s="18" t="s">
        <v>70</v>
      </c>
      <c r="C2037" s="18">
        <v>0</v>
      </c>
      <c r="D2037" s="18">
        <v>0</v>
      </c>
      <c r="E2037" s="18">
        <v>0</v>
      </c>
    </row>
    <row r="2038" spans="1:5" x14ac:dyDescent="0.25">
      <c r="A2038" s="18">
        <v>1961</v>
      </c>
      <c r="B2038" s="18" t="s">
        <v>70</v>
      </c>
      <c r="C2038" s="18">
        <v>0</v>
      </c>
      <c r="D2038" s="18">
        <v>0</v>
      </c>
      <c r="E2038" s="18">
        <v>0</v>
      </c>
    </row>
    <row r="2039" spans="1:5" x14ac:dyDescent="0.25">
      <c r="A2039" s="18">
        <v>1962</v>
      </c>
      <c r="B2039" s="18" t="s">
        <v>70</v>
      </c>
      <c r="C2039" s="18">
        <v>0</v>
      </c>
      <c r="D2039" s="18">
        <v>0</v>
      </c>
      <c r="E2039" s="18">
        <v>0</v>
      </c>
    </row>
    <row r="2040" spans="1:5" x14ac:dyDescent="0.25">
      <c r="A2040" s="18">
        <v>1963</v>
      </c>
      <c r="B2040" s="18" t="s">
        <v>70</v>
      </c>
      <c r="C2040" s="18">
        <v>0</v>
      </c>
      <c r="D2040" s="18">
        <v>0</v>
      </c>
      <c r="E2040" s="18">
        <v>0</v>
      </c>
    </row>
    <row r="2041" spans="1:5" x14ac:dyDescent="0.25">
      <c r="A2041" s="18">
        <v>1964</v>
      </c>
      <c r="B2041" s="18" t="s">
        <v>70</v>
      </c>
      <c r="C2041" s="18">
        <v>0</v>
      </c>
      <c r="D2041" s="18">
        <v>0</v>
      </c>
      <c r="E2041" s="18">
        <v>0</v>
      </c>
    </row>
    <row r="2042" spans="1:5" x14ac:dyDescent="0.25">
      <c r="A2042" s="18">
        <v>1965</v>
      </c>
      <c r="B2042" s="18" t="s">
        <v>70</v>
      </c>
      <c r="C2042" s="18">
        <v>0</v>
      </c>
      <c r="D2042" s="18">
        <v>0</v>
      </c>
      <c r="E2042" s="18">
        <v>0</v>
      </c>
    </row>
    <row r="2043" spans="1:5" x14ac:dyDescent="0.25">
      <c r="A2043" s="18">
        <v>1966</v>
      </c>
      <c r="B2043" s="18" t="s">
        <v>70</v>
      </c>
      <c r="C2043" s="18">
        <v>0</v>
      </c>
      <c r="D2043" s="18">
        <v>0</v>
      </c>
      <c r="E2043" s="18">
        <v>0</v>
      </c>
    </row>
    <row r="2044" spans="1:5" x14ac:dyDescent="0.25">
      <c r="A2044" s="18">
        <v>1967</v>
      </c>
      <c r="B2044" s="18" t="s">
        <v>70</v>
      </c>
      <c r="C2044" s="18">
        <v>0</v>
      </c>
      <c r="D2044" s="18">
        <v>0</v>
      </c>
      <c r="E2044" s="18">
        <v>0</v>
      </c>
    </row>
    <row r="2045" spans="1:5" x14ac:dyDescent="0.25">
      <c r="A2045" s="18">
        <v>1968</v>
      </c>
      <c r="B2045" s="18" t="s">
        <v>70</v>
      </c>
      <c r="C2045" s="18">
        <v>0</v>
      </c>
      <c r="D2045" s="18">
        <v>0</v>
      </c>
      <c r="E2045" s="18">
        <v>0</v>
      </c>
    </row>
    <row r="2046" spans="1:5" x14ac:dyDescent="0.25">
      <c r="A2046" s="18">
        <v>1969</v>
      </c>
      <c r="B2046" s="18" t="s">
        <v>70</v>
      </c>
      <c r="C2046" s="18">
        <v>0</v>
      </c>
      <c r="D2046" s="18">
        <v>0</v>
      </c>
      <c r="E2046" s="18">
        <v>0</v>
      </c>
    </row>
    <row r="2047" spans="1:5" x14ac:dyDescent="0.25">
      <c r="A2047" s="18">
        <v>1970</v>
      </c>
      <c r="B2047" s="18" t="s">
        <v>70</v>
      </c>
      <c r="C2047" s="18">
        <v>0</v>
      </c>
      <c r="D2047" s="18">
        <v>0</v>
      </c>
      <c r="E2047" s="18">
        <v>0</v>
      </c>
    </row>
    <row r="2048" spans="1:5" x14ac:dyDescent="0.25">
      <c r="A2048" s="18">
        <v>1971</v>
      </c>
      <c r="B2048" s="18" t="s">
        <v>70</v>
      </c>
      <c r="C2048" s="18">
        <v>0</v>
      </c>
      <c r="D2048" s="18">
        <v>0</v>
      </c>
      <c r="E2048" s="18">
        <v>0</v>
      </c>
    </row>
    <row r="2049" spans="1:5" x14ac:dyDescent="0.25">
      <c r="A2049" s="18">
        <v>1972</v>
      </c>
      <c r="B2049" s="18" t="s">
        <v>70</v>
      </c>
      <c r="C2049" s="18">
        <v>0</v>
      </c>
      <c r="D2049" s="18">
        <v>0</v>
      </c>
      <c r="E2049" s="18">
        <v>0</v>
      </c>
    </row>
    <row r="2050" spans="1:5" x14ac:dyDescent="0.25">
      <c r="A2050" s="18">
        <v>1973</v>
      </c>
      <c r="B2050" s="18" t="s">
        <v>70</v>
      </c>
      <c r="C2050" s="18">
        <v>0</v>
      </c>
      <c r="D2050" s="18">
        <v>0</v>
      </c>
      <c r="E2050" s="18">
        <v>0</v>
      </c>
    </row>
    <row r="2051" spans="1:5" x14ac:dyDescent="0.25">
      <c r="A2051" s="18">
        <v>1974</v>
      </c>
      <c r="B2051" s="18" t="s">
        <v>70</v>
      </c>
      <c r="C2051" s="18">
        <v>0</v>
      </c>
      <c r="D2051" s="18">
        <v>0</v>
      </c>
      <c r="E2051" s="18">
        <v>0</v>
      </c>
    </row>
    <row r="2052" spans="1:5" x14ac:dyDescent="0.25">
      <c r="A2052" s="18">
        <v>1975</v>
      </c>
      <c r="B2052" s="18" t="s">
        <v>70</v>
      </c>
      <c r="C2052" s="18">
        <v>1253</v>
      </c>
      <c r="D2052" s="18">
        <v>1385</v>
      </c>
      <c r="E2052" s="18">
        <v>2638</v>
      </c>
    </row>
    <row r="2053" spans="1:5" x14ac:dyDescent="0.25">
      <c r="A2053" s="18">
        <v>1976</v>
      </c>
      <c r="B2053" s="18" t="s">
        <v>70</v>
      </c>
      <c r="C2053" s="18">
        <v>0</v>
      </c>
      <c r="D2053" s="18">
        <v>0</v>
      </c>
      <c r="E2053" s="18">
        <v>0</v>
      </c>
    </row>
    <row r="2054" spans="1:5" x14ac:dyDescent="0.25">
      <c r="A2054" s="18">
        <v>1977</v>
      </c>
      <c r="B2054" s="18" t="s">
        <v>70</v>
      </c>
      <c r="C2054" s="18">
        <v>0</v>
      </c>
      <c r="D2054" s="18">
        <v>0</v>
      </c>
      <c r="E2054" s="18">
        <v>0</v>
      </c>
    </row>
    <row r="2055" spans="1:5" x14ac:dyDescent="0.25">
      <c r="A2055" s="18">
        <v>1978</v>
      </c>
      <c r="B2055" s="18" t="s">
        <v>70</v>
      </c>
      <c r="C2055" s="18">
        <v>0</v>
      </c>
      <c r="D2055" s="18">
        <v>0</v>
      </c>
      <c r="E2055" s="18">
        <v>0</v>
      </c>
    </row>
    <row r="2056" spans="1:5" x14ac:dyDescent="0.25">
      <c r="A2056" s="18">
        <v>1979</v>
      </c>
      <c r="B2056" s="18" t="s">
        <v>70</v>
      </c>
      <c r="C2056" s="18">
        <v>0</v>
      </c>
      <c r="D2056" s="18">
        <v>0</v>
      </c>
      <c r="E2056" s="18">
        <v>0</v>
      </c>
    </row>
    <row r="2057" spans="1:5" x14ac:dyDescent="0.25">
      <c r="A2057" s="18">
        <v>1980</v>
      </c>
      <c r="B2057" s="18" t="s">
        <v>70</v>
      </c>
      <c r="C2057" s="18">
        <v>1751</v>
      </c>
      <c r="D2057" s="18">
        <v>1837</v>
      </c>
      <c r="E2057" s="18">
        <v>3588</v>
      </c>
    </row>
    <row r="2058" spans="1:5" x14ac:dyDescent="0.25">
      <c r="A2058" s="18">
        <v>1981</v>
      </c>
      <c r="B2058" s="18" t="s">
        <v>70</v>
      </c>
      <c r="C2058" s="18">
        <v>0</v>
      </c>
      <c r="D2058" s="18">
        <v>0</v>
      </c>
      <c r="E2058" s="18">
        <v>0</v>
      </c>
    </row>
    <row r="2059" spans="1:5" x14ac:dyDescent="0.25">
      <c r="A2059" s="18">
        <v>1982</v>
      </c>
      <c r="B2059" s="18" t="s">
        <v>70</v>
      </c>
      <c r="C2059" s="18">
        <v>0</v>
      </c>
      <c r="D2059" s="18">
        <v>0</v>
      </c>
      <c r="E2059" s="18">
        <v>0</v>
      </c>
    </row>
    <row r="2060" spans="1:5" x14ac:dyDescent="0.25">
      <c r="A2060" s="18">
        <v>1983</v>
      </c>
      <c r="B2060" s="18" t="s">
        <v>70</v>
      </c>
      <c r="C2060" s="18">
        <v>0</v>
      </c>
      <c r="D2060" s="18">
        <v>0</v>
      </c>
      <c r="E2060" s="18">
        <v>0</v>
      </c>
    </row>
    <row r="2061" spans="1:5" x14ac:dyDescent="0.25">
      <c r="A2061" s="18">
        <v>1984</v>
      </c>
      <c r="B2061" s="18" t="s">
        <v>70</v>
      </c>
      <c r="C2061" s="18">
        <v>0</v>
      </c>
      <c r="D2061" s="18">
        <v>0</v>
      </c>
      <c r="E2061" s="18">
        <v>0</v>
      </c>
    </row>
    <row r="2062" spans="1:5" x14ac:dyDescent="0.25">
      <c r="A2062" s="18">
        <v>1985</v>
      </c>
      <c r="B2062" s="18" t="s">
        <v>70</v>
      </c>
      <c r="C2062" s="18">
        <v>1796</v>
      </c>
      <c r="D2062" s="18">
        <v>1813</v>
      </c>
      <c r="E2062" s="18">
        <v>3609</v>
      </c>
    </row>
    <row r="2063" spans="1:5" x14ac:dyDescent="0.25">
      <c r="A2063" s="18">
        <v>1986</v>
      </c>
      <c r="B2063" s="18" t="s">
        <v>70</v>
      </c>
      <c r="C2063" s="18">
        <v>0</v>
      </c>
      <c r="D2063" s="18">
        <v>0</v>
      </c>
      <c r="E2063" s="18">
        <v>0</v>
      </c>
    </row>
    <row r="2064" spans="1:5" x14ac:dyDescent="0.25">
      <c r="A2064" s="18">
        <v>1987</v>
      </c>
      <c r="B2064" s="18" t="s">
        <v>70</v>
      </c>
      <c r="C2064" s="18">
        <v>0</v>
      </c>
      <c r="D2064" s="18">
        <v>0</v>
      </c>
      <c r="E2064" s="18">
        <v>0</v>
      </c>
    </row>
    <row r="2065" spans="1:5" x14ac:dyDescent="0.25">
      <c r="A2065" s="18">
        <v>1988</v>
      </c>
      <c r="B2065" s="18" t="s">
        <v>70</v>
      </c>
      <c r="C2065" s="18">
        <v>0</v>
      </c>
      <c r="D2065" s="18">
        <v>0</v>
      </c>
      <c r="E2065" s="18">
        <v>0</v>
      </c>
    </row>
    <row r="2066" spans="1:5" x14ac:dyDescent="0.25">
      <c r="A2066" s="18">
        <v>1989</v>
      </c>
      <c r="B2066" s="18" t="s">
        <v>70</v>
      </c>
      <c r="C2066" s="18">
        <v>0</v>
      </c>
      <c r="D2066" s="18">
        <v>0</v>
      </c>
      <c r="E2066" s="18">
        <v>0</v>
      </c>
    </row>
    <row r="2067" spans="1:5" x14ac:dyDescent="0.25">
      <c r="A2067" s="18">
        <v>1990</v>
      </c>
      <c r="B2067" s="18" t="s">
        <v>70</v>
      </c>
      <c r="C2067" s="18">
        <v>896</v>
      </c>
      <c r="D2067" s="18">
        <v>975</v>
      </c>
      <c r="E2067" s="18">
        <v>1871</v>
      </c>
    </row>
    <row r="2068" spans="1:5" x14ac:dyDescent="0.25">
      <c r="A2068" s="18">
        <v>1991</v>
      </c>
      <c r="B2068" s="18" t="s">
        <v>70</v>
      </c>
      <c r="C2068" s="18">
        <v>0</v>
      </c>
      <c r="D2068" s="18">
        <v>0</v>
      </c>
      <c r="E2068" s="18">
        <v>0</v>
      </c>
    </row>
    <row r="2069" spans="1:5" x14ac:dyDescent="0.25">
      <c r="A2069" s="18">
        <v>1992</v>
      </c>
      <c r="B2069" s="18" t="s">
        <v>70</v>
      </c>
      <c r="C2069" s="18">
        <v>0</v>
      </c>
      <c r="D2069" s="18">
        <v>0</v>
      </c>
      <c r="E2069" s="18">
        <v>0</v>
      </c>
    </row>
    <row r="2070" spans="1:5" x14ac:dyDescent="0.25">
      <c r="A2070" s="18">
        <v>1993</v>
      </c>
      <c r="B2070" s="18" t="s">
        <v>70</v>
      </c>
      <c r="C2070" s="18">
        <v>0</v>
      </c>
      <c r="D2070" s="18">
        <v>0</v>
      </c>
      <c r="E2070" s="18">
        <v>0</v>
      </c>
    </row>
    <row r="2071" spans="1:5" x14ac:dyDescent="0.25">
      <c r="A2071" s="18">
        <v>1994</v>
      </c>
      <c r="B2071" s="18" t="s">
        <v>70</v>
      </c>
      <c r="C2071" s="18">
        <v>0</v>
      </c>
      <c r="D2071" s="18">
        <v>0</v>
      </c>
      <c r="E2071" s="18">
        <v>0</v>
      </c>
    </row>
    <row r="2072" spans="1:5" x14ac:dyDescent="0.25">
      <c r="A2072" s="18">
        <v>1995</v>
      </c>
      <c r="B2072" s="18" t="s">
        <v>70</v>
      </c>
      <c r="C2072" s="18">
        <v>0</v>
      </c>
      <c r="D2072" s="18">
        <v>0</v>
      </c>
      <c r="E2072" s="18">
        <v>0</v>
      </c>
    </row>
    <row r="2073" spans="1:5" x14ac:dyDescent="0.25">
      <c r="A2073" s="18">
        <v>1996</v>
      </c>
      <c r="B2073" s="18" t="s">
        <v>70</v>
      </c>
      <c r="C2073" s="18">
        <v>0</v>
      </c>
      <c r="D2073" s="18">
        <v>0</v>
      </c>
      <c r="E2073" s="18">
        <v>0</v>
      </c>
    </row>
    <row r="2074" spans="1:5" x14ac:dyDescent="0.25">
      <c r="A2074" s="18">
        <v>1997</v>
      </c>
      <c r="B2074" s="18" t="s">
        <v>70</v>
      </c>
      <c r="C2074" s="18">
        <v>0</v>
      </c>
      <c r="D2074" s="18">
        <v>0</v>
      </c>
      <c r="E2074" s="18">
        <v>0</v>
      </c>
    </row>
    <row r="2075" spans="1:5" x14ac:dyDescent="0.25">
      <c r="A2075" s="18">
        <v>1998</v>
      </c>
      <c r="B2075" s="18" t="s">
        <v>70</v>
      </c>
      <c r="C2075" s="18">
        <v>0</v>
      </c>
      <c r="D2075" s="18">
        <v>0</v>
      </c>
      <c r="E2075" s="18">
        <v>0</v>
      </c>
    </row>
    <row r="2076" spans="1:5" x14ac:dyDescent="0.25">
      <c r="A2076" s="18">
        <v>1999</v>
      </c>
      <c r="B2076" s="18" t="s">
        <v>70</v>
      </c>
      <c r="C2076" s="18">
        <v>0</v>
      </c>
      <c r="D2076" s="18">
        <v>0</v>
      </c>
      <c r="E2076" s="18">
        <v>0</v>
      </c>
    </row>
    <row r="2077" spans="1:5" x14ac:dyDescent="0.25">
      <c r="A2077" s="18">
        <v>2000</v>
      </c>
      <c r="B2077" s="18" t="s">
        <v>70</v>
      </c>
      <c r="C2077" s="18">
        <v>1165</v>
      </c>
      <c r="D2077" s="18">
        <v>1157</v>
      </c>
      <c r="E2077" s="18">
        <v>2323</v>
      </c>
    </row>
    <row r="2078" spans="1:5" x14ac:dyDescent="0.25">
      <c r="A2078" s="18">
        <v>2001</v>
      </c>
      <c r="B2078" s="18" t="s">
        <v>70</v>
      </c>
      <c r="C2078" s="18">
        <v>0</v>
      </c>
      <c r="D2078" s="18">
        <v>0</v>
      </c>
      <c r="E2078" s="18">
        <v>0</v>
      </c>
    </row>
    <row r="2079" spans="1:5" x14ac:dyDescent="0.25">
      <c r="A2079" s="18">
        <v>2002</v>
      </c>
      <c r="B2079" s="18" t="s">
        <v>70</v>
      </c>
      <c r="C2079" s="18">
        <v>0</v>
      </c>
      <c r="D2079" s="18">
        <v>0</v>
      </c>
      <c r="E2079" s="18">
        <v>0</v>
      </c>
    </row>
    <row r="2080" spans="1:5" x14ac:dyDescent="0.25">
      <c r="A2080" s="18">
        <v>2003</v>
      </c>
      <c r="B2080" s="18" t="s">
        <v>70</v>
      </c>
      <c r="C2080" s="18">
        <v>0</v>
      </c>
      <c r="D2080" s="18">
        <v>0</v>
      </c>
      <c r="E2080" s="18">
        <v>0</v>
      </c>
    </row>
    <row r="2081" spans="1:5" x14ac:dyDescent="0.25">
      <c r="A2081" s="18">
        <v>2004</v>
      </c>
      <c r="B2081" s="18" t="s">
        <v>70</v>
      </c>
      <c r="C2081" s="18">
        <v>0</v>
      </c>
      <c r="D2081" s="18">
        <v>0</v>
      </c>
      <c r="E2081" s="18">
        <v>0</v>
      </c>
    </row>
    <row r="2082" spans="1:5" x14ac:dyDescent="0.25">
      <c r="A2082" s="18">
        <v>2005</v>
      </c>
      <c r="B2082" s="18" t="s">
        <v>70</v>
      </c>
      <c r="C2082" s="18">
        <v>0</v>
      </c>
      <c r="D2082" s="18">
        <v>0</v>
      </c>
      <c r="E2082" s="18">
        <v>0</v>
      </c>
    </row>
    <row r="2083" spans="1:5" x14ac:dyDescent="0.25">
      <c r="A2083" s="18">
        <v>2006</v>
      </c>
      <c r="B2083" s="18" t="s">
        <v>70</v>
      </c>
      <c r="C2083" s="18">
        <v>0</v>
      </c>
      <c r="D2083" s="18">
        <v>0</v>
      </c>
      <c r="E2083" s="18">
        <v>0</v>
      </c>
    </row>
    <row r="2084" spans="1:5" x14ac:dyDescent="0.25">
      <c r="A2084" s="18">
        <v>2007</v>
      </c>
      <c r="B2084" s="18" t="s">
        <v>70</v>
      </c>
      <c r="C2084" s="18">
        <v>0</v>
      </c>
      <c r="D2084" s="18">
        <v>0</v>
      </c>
      <c r="E2084" s="18">
        <v>0</v>
      </c>
    </row>
    <row r="2085" spans="1:5" x14ac:dyDescent="0.25">
      <c r="A2085" s="18">
        <v>2008</v>
      </c>
      <c r="B2085" s="18" t="s">
        <v>70</v>
      </c>
      <c r="C2085" s="18">
        <v>0</v>
      </c>
      <c r="D2085" s="18">
        <v>0</v>
      </c>
      <c r="E2085" s="18">
        <v>0</v>
      </c>
    </row>
    <row r="2086" spans="1:5" x14ac:dyDescent="0.25">
      <c r="A2086" s="18">
        <v>1950</v>
      </c>
      <c r="B2086" s="18" t="s">
        <v>73</v>
      </c>
      <c r="C2086" s="18">
        <v>0</v>
      </c>
      <c r="D2086" s="18">
        <v>0</v>
      </c>
      <c r="E2086" s="18">
        <v>0</v>
      </c>
    </row>
    <row r="2087" spans="1:5" x14ac:dyDescent="0.25">
      <c r="A2087" s="18">
        <v>1951</v>
      </c>
      <c r="B2087" s="18" t="s">
        <v>73</v>
      </c>
      <c r="C2087" s="18">
        <v>0</v>
      </c>
      <c r="D2087" s="18">
        <v>0</v>
      </c>
      <c r="E2087" s="18">
        <v>0</v>
      </c>
    </row>
    <row r="2088" spans="1:5" x14ac:dyDescent="0.25">
      <c r="A2088" s="18">
        <v>1952</v>
      </c>
      <c r="B2088" s="18" t="s">
        <v>73</v>
      </c>
      <c r="C2088" s="18">
        <v>0</v>
      </c>
      <c r="D2088" s="18">
        <v>0</v>
      </c>
      <c r="E2088" s="18">
        <v>0</v>
      </c>
    </row>
    <row r="2089" spans="1:5" x14ac:dyDescent="0.25">
      <c r="A2089" s="18">
        <v>1953</v>
      </c>
      <c r="B2089" s="18" t="s">
        <v>73</v>
      </c>
      <c r="C2089" s="18">
        <v>0</v>
      </c>
      <c r="D2089" s="18">
        <v>0</v>
      </c>
      <c r="E2089" s="18">
        <v>0</v>
      </c>
    </row>
    <row r="2090" spans="1:5" x14ac:dyDescent="0.25">
      <c r="A2090" s="18">
        <v>1954</v>
      </c>
      <c r="B2090" s="18" t="s">
        <v>73</v>
      </c>
      <c r="C2090" s="18">
        <v>0</v>
      </c>
      <c r="D2090" s="18">
        <v>0</v>
      </c>
      <c r="E2090" s="18">
        <v>0</v>
      </c>
    </row>
    <row r="2091" spans="1:5" x14ac:dyDescent="0.25">
      <c r="A2091" s="18">
        <v>1955</v>
      </c>
      <c r="B2091" s="18" t="s">
        <v>73</v>
      </c>
      <c r="C2091" s="18">
        <v>0</v>
      </c>
      <c r="D2091" s="18">
        <v>0</v>
      </c>
      <c r="E2091" s="18">
        <v>0</v>
      </c>
    </row>
    <row r="2092" spans="1:5" x14ac:dyDescent="0.25">
      <c r="A2092" s="18">
        <v>1956</v>
      </c>
      <c r="B2092" s="18" t="s">
        <v>73</v>
      </c>
      <c r="C2092" s="18">
        <v>0</v>
      </c>
      <c r="D2092" s="18">
        <v>0</v>
      </c>
      <c r="E2092" s="18">
        <v>0</v>
      </c>
    </row>
    <row r="2093" spans="1:5" x14ac:dyDescent="0.25">
      <c r="A2093" s="18">
        <v>1957</v>
      </c>
      <c r="B2093" s="18" t="s">
        <v>73</v>
      </c>
      <c r="C2093" s="18">
        <v>0</v>
      </c>
      <c r="D2093" s="18">
        <v>0</v>
      </c>
      <c r="E2093" s="18">
        <v>0</v>
      </c>
    </row>
    <row r="2094" spans="1:5" x14ac:dyDescent="0.25">
      <c r="A2094" s="18">
        <v>1958</v>
      </c>
      <c r="B2094" s="18" t="s">
        <v>73</v>
      </c>
      <c r="C2094" s="18">
        <v>0</v>
      </c>
      <c r="D2094" s="18">
        <v>0</v>
      </c>
      <c r="E2094" s="18">
        <v>0</v>
      </c>
    </row>
    <row r="2095" spans="1:5" x14ac:dyDescent="0.25">
      <c r="A2095" s="18">
        <v>1959</v>
      </c>
      <c r="B2095" s="18" t="s">
        <v>73</v>
      </c>
      <c r="C2095" s="18">
        <v>0</v>
      </c>
      <c r="D2095" s="18">
        <v>0</v>
      </c>
      <c r="E2095" s="18">
        <v>0</v>
      </c>
    </row>
    <row r="2096" spans="1:5" x14ac:dyDescent="0.25">
      <c r="A2096" s="18">
        <v>1960</v>
      </c>
      <c r="B2096" s="18" t="s">
        <v>73</v>
      </c>
      <c r="C2096" s="18">
        <v>0</v>
      </c>
      <c r="D2096" s="18">
        <v>0</v>
      </c>
      <c r="E2096" s="18">
        <v>0</v>
      </c>
    </row>
    <row r="2097" spans="1:5" x14ac:dyDescent="0.25">
      <c r="A2097" s="18">
        <v>1961</v>
      </c>
      <c r="B2097" s="18" t="s">
        <v>73</v>
      </c>
      <c r="C2097" s="18">
        <v>0</v>
      </c>
      <c r="D2097" s="18">
        <v>0</v>
      </c>
      <c r="E2097" s="18">
        <v>0</v>
      </c>
    </row>
    <row r="2098" spans="1:5" x14ac:dyDescent="0.25">
      <c r="A2098" s="18">
        <v>1962</v>
      </c>
      <c r="B2098" s="18" t="s">
        <v>73</v>
      </c>
      <c r="C2098" s="18">
        <v>0</v>
      </c>
      <c r="D2098" s="18">
        <v>0</v>
      </c>
      <c r="E2098" s="18">
        <v>0</v>
      </c>
    </row>
    <row r="2099" spans="1:5" x14ac:dyDescent="0.25">
      <c r="A2099" s="18">
        <v>1963</v>
      </c>
      <c r="B2099" s="18" t="s">
        <v>73</v>
      </c>
      <c r="C2099" s="18">
        <v>0</v>
      </c>
      <c r="D2099" s="18">
        <v>0</v>
      </c>
      <c r="E2099" s="18">
        <v>0</v>
      </c>
    </row>
    <row r="2100" spans="1:5" x14ac:dyDescent="0.25">
      <c r="A2100" s="18">
        <v>1964</v>
      </c>
      <c r="B2100" s="18" t="s">
        <v>73</v>
      </c>
      <c r="C2100" s="18">
        <v>0</v>
      </c>
      <c r="D2100" s="18">
        <v>0</v>
      </c>
      <c r="E2100" s="18">
        <v>0</v>
      </c>
    </row>
    <row r="2101" spans="1:5" x14ac:dyDescent="0.25">
      <c r="A2101" s="18">
        <v>1965</v>
      </c>
      <c r="B2101" s="18" t="s">
        <v>73</v>
      </c>
      <c r="C2101" s="18">
        <v>0</v>
      </c>
      <c r="D2101" s="18">
        <v>0</v>
      </c>
      <c r="E2101" s="18">
        <v>0</v>
      </c>
    </row>
    <row r="2102" spans="1:5" x14ac:dyDescent="0.25">
      <c r="A2102" s="18">
        <v>1966</v>
      </c>
      <c r="B2102" s="18" t="s">
        <v>73</v>
      </c>
      <c r="C2102" s="18">
        <v>0</v>
      </c>
      <c r="D2102" s="18">
        <v>0</v>
      </c>
      <c r="E2102" s="18">
        <v>0</v>
      </c>
    </row>
    <row r="2103" spans="1:5" x14ac:dyDescent="0.25">
      <c r="A2103" s="18">
        <v>1967</v>
      </c>
      <c r="B2103" s="18" t="s">
        <v>73</v>
      </c>
      <c r="C2103" s="18">
        <v>0</v>
      </c>
      <c r="D2103" s="18">
        <v>0</v>
      </c>
      <c r="E2103" s="18">
        <v>0</v>
      </c>
    </row>
    <row r="2104" spans="1:5" x14ac:dyDescent="0.25">
      <c r="A2104" s="18">
        <v>1968</v>
      </c>
      <c r="B2104" s="18" t="s">
        <v>73</v>
      </c>
      <c r="C2104" s="18">
        <v>0</v>
      </c>
      <c r="D2104" s="18">
        <v>0</v>
      </c>
      <c r="E2104" s="18">
        <v>0</v>
      </c>
    </row>
    <row r="2105" spans="1:5" x14ac:dyDescent="0.25">
      <c r="A2105" s="18">
        <v>1969</v>
      </c>
      <c r="B2105" s="18" t="s">
        <v>73</v>
      </c>
      <c r="C2105" s="18">
        <v>0</v>
      </c>
      <c r="D2105" s="18">
        <v>0</v>
      </c>
      <c r="E2105" s="18">
        <v>0</v>
      </c>
    </row>
    <row r="2106" spans="1:5" x14ac:dyDescent="0.25">
      <c r="A2106" s="18">
        <v>1970</v>
      </c>
      <c r="B2106" s="18" t="s">
        <v>73</v>
      </c>
      <c r="C2106" s="18">
        <v>0</v>
      </c>
      <c r="D2106" s="18">
        <v>0</v>
      </c>
      <c r="E2106" s="18">
        <v>0</v>
      </c>
    </row>
    <row r="2107" spans="1:5" x14ac:dyDescent="0.25">
      <c r="A2107" s="18">
        <v>1971</v>
      </c>
      <c r="B2107" s="18" t="s">
        <v>73</v>
      </c>
      <c r="C2107" s="18">
        <v>0</v>
      </c>
      <c r="D2107" s="18">
        <v>0</v>
      </c>
      <c r="E2107" s="18">
        <v>0</v>
      </c>
    </row>
    <row r="2108" spans="1:5" x14ac:dyDescent="0.25">
      <c r="A2108" s="18">
        <v>1972</v>
      </c>
      <c r="B2108" s="18" t="s">
        <v>73</v>
      </c>
      <c r="C2108" s="18">
        <v>0</v>
      </c>
      <c r="D2108" s="18">
        <v>0</v>
      </c>
      <c r="E2108" s="18">
        <v>0</v>
      </c>
    </row>
    <row r="2109" spans="1:5" x14ac:dyDescent="0.25">
      <c r="A2109" s="18">
        <v>1973</v>
      </c>
      <c r="B2109" s="18" t="s">
        <v>73</v>
      </c>
      <c r="C2109" s="18">
        <v>0</v>
      </c>
      <c r="D2109" s="18">
        <v>0</v>
      </c>
      <c r="E2109" s="18">
        <v>0</v>
      </c>
    </row>
    <row r="2110" spans="1:5" x14ac:dyDescent="0.25">
      <c r="A2110" s="18">
        <v>1974</v>
      </c>
      <c r="B2110" s="18" t="s">
        <v>73</v>
      </c>
      <c r="C2110" s="18">
        <v>0</v>
      </c>
      <c r="D2110" s="18">
        <v>0</v>
      </c>
      <c r="E2110" s="18">
        <v>0</v>
      </c>
    </row>
    <row r="2111" spans="1:5" x14ac:dyDescent="0.25">
      <c r="A2111" s="18">
        <v>1975</v>
      </c>
      <c r="B2111" s="18" t="s">
        <v>73</v>
      </c>
      <c r="C2111" s="18">
        <v>1423</v>
      </c>
      <c r="D2111" s="18">
        <v>2089</v>
      </c>
      <c r="E2111" s="18">
        <v>3513</v>
      </c>
    </row>
    <row r="2112" spans="1:5" x14ac:dyDescent="0.25">
      <c r="A2112" s="18">
        <v>1976</v>
      </c>
      <c r="B2112" s="18" t="s">
        <v>73</v>
      </c>
      <c r="C2112" s="18">
        <v>0</v>
      </c>
      <c r="D2112" s="18">
        <v>0</v>
      </c>
      <c r="E2112" s="18">
        <v>0</v>
      </c>
    </row>
    <row r="2113" spans="1:5" x14ac:dyDescent="0.25">
      <c r="A2113" s="18">
        <v>1977</v>
      </c>
      <c r="B2113" s="18" t="s">
        <v>73</v>
      </c>
      <c r="C2113" s="18">
        <v>0</v>
      </c>
      <c r="D2113" s="18">
        <v>0</v>
      </c>
      <c r="E2113" s="18">
        <v>0</v>
      </c>
    </row>
    <row r="2114" spans="1:5" x14ac:dyDescent="0.25">
      <c r="A2114" s="18">
        <v>1978</v>
      </c>
      <c r="B2114" s="18" t="s">
        <v>73</v>
      </c>
      <c r="C2114" s="18">
        <v>0</v>
      </c>
      <c r="D2114" s="18">
        <v>0</v>
      </c>
      <c r="E2114" s="18">
        <v>0</v>
      </c>
    </row>
    <row r="2115" spans="1:5" x14ac:dyDescent="0.25">
      <c r="A2115" s="18">
        <v>1979</v>
      </c>
      <c r="B2115" s="18" t="s">
        <v>73</v>
      </c>
      <c r="C2115" s="18">
        <v>0</v>
      </c>
      <c r="D2115" s="18">
        <v>0</v>
      </c>
      <c r="E2115" s="18">
        <v>0</v>
      </c>
    </row>
    <row r="2116" spans="1:5" x14ac:dyDescent="0.25">
      <c r="A2116" s="18">
        <v>1980</v>
      </c>
      <c r="B2116" s="18" t="s">
        <v>73</v>
      </c>
      <c r="C2116" s="18">
        <v>1037</v>
      </c>
      <c r="D2116" s="18">
        <v>1093</v>
      </c>
      <c r="E2116" s="18">
        <v>2130</v>
      </c>
    </row>
    <row r="2117" spans="1:5" x14ac:dyDescent="0.25">
      <c r="A2117" s="18">
        <v>1981</v>
      </c>
      <c r="B2117" s="18" t="s">
        <v>73</v>
      </c>
      <c r="C2117" s="18">
        <v>0</v>
      </c>
      <c r="D2117" s="18">
        <v>0</v>
      </c>
      <c r="E2117" s="18">
        <v>0</v>
      </c>
    </row>
    <row r="2118" spans="1:5" x14ac:dyDescent="0.25">
      <c r="A2118" s="18">
        <v>1982</v>
      </c>
      <c r="B2118" s="18" t="s">
        <v>73</v>
      </c>
      <c r="C2118" s="18">
        <v>0</v>
      </c>
      <c r="D2118" s="18">
        <v>0</v>
      </c>
      <c r="E2118" s="18">
        <v>0</v>
      </c>
    </row>
    <row r="2119" spans="1:5" x14ac:dyDescent="0.25">
      <c r="A2119" s="18">
        <v>1983</v>
      </c>
      <c r="B2119" s="18" t="s">
        <v>73</v>
      </c>
      <c r="C2119" s="18">
        <v>0</v>
      </c>
      <c r="D2119" s="18">
        <v>0</v>
      </c>
      <c r="E2119" s="18">
        <v>0</v>
      </c>
    </row>
    <row r="2120" spans="1:5" x14ac:dyDescent="0.25">
      <c r="A2120" s="18">
        <v>1984</v>
      </c>
      <c r="B2120" s="18" t="s">
        <v>73</v>
      </c>
      <c r="C2120" s="18">
        <v>0</v>
      </c>
      <c r="D2120" s="18">
        <v>0</v>
      </c>
      <c r="E2120" s="18">
        <v>0</v>
      </c>
    </row>
    <row r="2121" spans="1:5" x14ac:dyDescent="0.25">
      <c r="A2121" s="18">
        <v>1985</v>
      </c>
      <c r="B2121" s="18" t="s">
        <v>73</v>
      </c>
      <c r="C2121" s="18">
        <v>980</v>
      </c>
      <c r="D2121" s="18">
        <v>1083</v>
      </c>
      <c r="E2121" s="18">
        <v>2063</v>
      </c>
    </row>
    <row r="2122" spans="1:5" x14ac:dyDescent="0.25">
      <c r="A2122" s="18">
        <v>1986</v>
      </c>
      <c r="B2122" s="18" t="s">
        <v>73</v>
      </c>
      <c r="C2122" s="18">
        <v>0</v>
      </c>
      <c r="D2122" s="18">
        <v>0</v>
      </c>
      <c r="E2122" s="18">
        <v>0</v>
      </c>
    </row>
    <row r="2123" spans="1:5" x14ac:dyDescent="0.25">
      <c r="A2123" s="18">
        <v>1987</v>
      </c>
      <c r="B2123" s="18" t="s">
        <v>73</v>
      </c>
      <c r="C2123" s="18">
        <v>0</v>
      </c>
      <c r="D2123" s="18">
        <v>0</v>
      </c>
      <c r="E2123" s="18">
        <v>0</v>
      </c>
    </row>
    <row r="2124" spans="1:5" x14ac:dyDescent="0.25">
      <c r="A2124" s="18">
        <v>1988</v>
      </c>
      <c r="B2124" s="18" t="s">
        <v>73</v>
      </c>
      <c r="C2124" s="18">
        <v>0</v>
      </c>
      <c r="D2124" s="18">
        <v>0</v>
      </c>
      <c r="E2124" s="18">
        <v>0</v>
      </c>
    </row>
    <row r="2125" spans="1:5" x14ac:dyDescent="0.25">
      <c r="A2125" s="18">
        <v>1989</v>
      </c>
      <c r="B2125" s="18" t="s">
        <v>73</v>
      </c>
      <c r="C2125" s="18">
        <v>0</v>
      </c>
      <c r="D2125" s="18">
        <v>0</v>
      </c>
      <c r="E2125" s="18">
        <v>0</v>
      </c>
    </row>
    <row r="2126" spans="1:5" x14ac:dyDescent="0.25">
      <c r="A2126" s="18">
        <v>1990</v>
      </c>
      <c r="B2126" s="18" t="s">
        <v>73</v>
      </c>
      <c r="C2126" s="18">
        <v>1071</v>
      </c>
      <c r="D2126" s="18">
        <v>1101</v>
      </c>
      <c r="E2126" s="18">
        <v>2172</v>
      </c>
    </row>
    <row r="2127" spans="1:5" x14ac:dyDescent="0.25">
      <c r="A2127" s="18">
        <v>1991</v>
      </c>
      <c r="B2127" s="18" t="s">
        <v>73</v>
      </c>
      <c r="C2127" s="18">
        <v>0</v>
      </c>
      <c r="D2127" s="18">
        <v>0</v>
      </c>
      <c r="E2127" s="18">
        <v>0</v>
      </c>
    </row>
    <row r="2128" spans="1:5" x14ac:dyDescent="0.25">
      <c r="A2128" s="18">
        <v>1992</v>
      </c>
      <c r="B2128" s="18" t="s">
        <v>73</v>
      </c>
      <c r="C2128" s="18">
        <v>0</v>
      </c>
      <c r="D2128" s="18">
        <v>0</v>
      </c>
      <c r="E2128" s="18">
        <v>0</v>
      </c>
    </row>
    <row r="2129" spans="1:5" x14ac:dyDescent="0.25">
      <c r="A2129" s="18">
        <v>1993</v>
      </c>
      <c r="B2129" s="18" t="s">
        <v>73</v>
      </c>
      <c r="C2129" s="18">
        <v>0</v>
      </c>
      <c r="D2129" s="18">
        <v>0</v>
      </c>
      <c r="E2129" s="18">
        <v>0</v>
      </c>
    </row>
    <row r="2130" spans="1:5" x14ac:dyDescent="0.25">
      <c r="A2130" s="18">
        <v>1994</v>
      </c>
      <c r="B2130" s="18" t="s">
        <v>73</v>
      </c>
      <c r="C2130" s="18">
        <v>0</v>
      </c>
      <c r="D2130" s="18">
        <v>0</v>
      </c>
      <c r="E2130" s="18">
        <v>0</v>
      </c>
    </row>
    <row r="2131" spans="1:5" x14ac:dyDescent="0.25">
      <c r="A2131" s="18">
        <v>1995</v>
      </c>
      <c r="B2131" s="18" t="s">
        <v>73</v>
      </c>
      <c r="C2131" s="18">
        <v>0</v>
      </c>
      <c r="D2131" s="18">
        <v>0</v>
      </c>
      <c r="E2131" s="18">
        <v>0</v>
      </c>
    </row>
    <row r="2132" spans="1:5" x14ac:dyDescent="0.25">
      <c r="A2132" s="18">
        <v>1996</v>
      </c>
      <c r="B2132" s="18" t="s">
        <v>73</v>
      </c>
      <c r="C2132" s="18">
        <v>0</v>
      </c>
      <c r="D2132" s="18">
        <v>0</v>
      </c>
      <c r="E2132" s="18">
        <v>0</v>
      </c>
    </row>
    <row r="2133" spans="1:5" x14ac:dyDescent="0.25">
      <c r="A2133" s="18">
        <v>1997</v>
      </c>
      <c r="B2133" s="18" t="s">
        <v>73</v>
      </c>
      <c r="C2133" s="18">
        <v>0</v>
      </c>
      <c r="D2133" s="18">
        <v>0</v>
      </c>
      <c r="E2133" s="18">
        <v>0</v>
      </c>
    </row>
    <row r="2134" spans="1:5" x14ac:dyDescent="0.25">
      <c r="A2134" s="18">
        <v>1998</v>
      </c>
      <c r="B2134" s="18" t="s">
        <v>73</v>
      </c>
      <c r="C2134" s="18">
        <v>0</v>
      </c>
      <c r="D2134" s="18">
        <v>0</v>
      </c>
      <c r="E2134" s="18">
        <v>0</v>
      </c>
    </row>
    <row r="2135" spans="1:5" x14ac:dyDescent="0.25">
      <c r="A2135" s="18">
        <v>1999</v>
      </c>
      <c r="B2135" s="18" t="s">
        <v>73</v>
      </c>
      <c r="C2135" s="18">
        <v>0</v>
      </c>
      <c r="D2135" s="18">
        <v>0</v>
      </c>
      <c r="E2135" s="18">
        <v>0</v>
      </c>
    </row>
    <row r="2136" spans="1:5" x14ac:dyDescent="0.25">
      <c r="A2136" s="18">
        <v>2000</v>
      </c>
      <c r="B2136" s="18" t="s">
        <v>73</v>
      </c>
      <c r="C2136" s="18">
        <v>1555</v>
      </c>
      <c r="D2136" s="18">
        <v>1595</v>
      </c>
      <c r="E2136" s="18">
        <v>3150</v>
      </c>
    </row>
    <row r="2137" spans="1:5" x14ac:dyDescent="0.25">
      <c r="A2137" s="18">
        <v>2001</v>
      </c>
      <c r="B2137" s="18" t="s">
        <v>73</v>
      </c>
      <c r="C2137" s="18">
        <v>0</v>
      </c>
      <c r="D2137" s="18">
        <v>0</v>
      </c>
      <c r="E2137" s="18">
        <v>0</v>
      </c>
    </row>
    <row r="2138" spans="1:5" x14ac:dyDescent="0.25">
      <c r="A2138" s="18">
        <v>2002</v>
      </c>
      <c r="B2138" s="18" t="s">
        <v>73</v>
      </c>
      <c r="C2138" s="18">
        <v>0</v>
      </c>
      <c r="D2138" s="18">
        <v>0</v>
      </c>
      <c r="E2138" s="18">
        <v>0</v>
      </c>
    </row>
    <row r="2139" spans="1:5" x14ac:dyDescent="0.25">
      <c r="A2139" s="18">
        <v>2003</v>
      </c>
      <c r="B2139" s="18" t="s">
        <v>73</v>
      </c>
      <c r="C2139" s="18">
        <v>0</v>
      </c>
      <c r="D2139" s="18">
        <v>0</v>
      </c>
      <c r="E2139" s="18">
        <v>0</v>
      </c>
    </row>
    <row r="2140" spans="1:5" x14ac:dyDescent="0.25">
      <c r="A2140" s="18">
        <v>2004</v>
      </c>
      <c r="B2140" s="18" t="s">
        <v>73</v>
      </c>
      <c r="C2140" s="18">
        <v>0</v>
      </c>
      <c r="D2140" s="18">
        <v>0</v>
      </c>
      <c r="E2140" s="18">
        <v>0</v>
      </c>
    </row>
    <row r="2141" spans="1:5" x14ac:dyDescent="0.25">
      <c r="A2141" s="18">
        <v>2005</v>
      </c>
      <c r="B2141" s="18" t="s">
        <v>73</v>
      </c>
      <c r="C2141" s="18">
        <v>0</v>
      </c>
      <c r="D2141" s="18">
        <v>0</v>
      </c>
      <c r="E2141" s="18">
        <v>0</v>
      </c>
    </row>
    <row r="2142" spans="1:5" x14ac:dyDescent="0.25">
      <c r="A2142" s="18">
        <v>2006</v>
      </c>
      <c r="B2142" s="18" t="s">
        <v>73</v>
      </c>
      <c r="C2142" s="18">
        <v>0</v>
      </c>
      <c r="D2142" s="18">
        <v>0</v>
      </c>
      <c r="E2142" s="18">
        <v>0</v>
      </c>
    </row>
    <row r="2143" spans="1:5" x14ac:dyDescent="0.25">
      <c r="A2143" s="18">
        <v>2007</v>
      </c>
      <c r="B2143" s="18" t="s">
        <v>73</v>
      </c>
      <c r="C2143" s="18">
        <v>0</v>
      </c>
      <c r="D2143" s="18">
        <v>0</v>
      </c>
      <c r="E2143" s="18">
        <v>0</v>
      </c>
    </row>
    <row r="2144" spans="1:5" x14ac:dyDescent="0.25">
      <c r="A2144" s="18">
        <v>2008</v>
      </c>
      <c r="B2144" s="18" t="s">
        <v>73</v>
      </c>
      <c r="C2144" s="18">
        <v>0</v>
      </c>
      <c r="D2144" s="18">
        <v>0</v>
      </c>
      <c r="E2144" s="18">
        <v>0</v>
      </c>
    </row>
    <row r="2145" spans="1:5" x14ac:dyDescent="0.25">
      <c r="A2145" s="18">
        <v>1950</v>
      </c>
      <c r="B2145" s="18" t="s">
        <v>74</v>
      </c>
      <c r="C2145" s="18">
        <v>0</v>
      </c>
      <c r="D2145" s="18">
        <v>0</v>
      </c>
      <c r="E2145" s="18">
        <v>0</v>
      </c>
    </row>
    <row r="2146" spans="1:5" x14ac:dyDescent="0.25">
      <c r="A2146" s="18">
        <v>1951</v>
      </c>
      <c r="B2146" s="18" t="s">
        <v>74</v>
      </c>
      <c r="C2146" s="18">
        <v>0</v>
      </c>
      <c r="D2146" s="18">
        <v>0</v>
      </c>
      <c r="E2146" s="18">
        <v>0</v>
      </c>
    </row>
    <row r="2147" spans="1:5" x14ac:dyDescent="0.25">
      <c r="A2147" s="18">
        <v>1952</v>
      </c>
      <c r="B2147" s="18" t="s">
        <v>74</v>
      </c>
      <c r="C2147" s="18">
        <v>0</v>
      </c>
      <c r="D2147" s="18">
        <v>0</v>
      </c>
      <c r="E2147" s="18">
        <v>0</v>
      </c>
    </row>
    <row r="2148" spans="1:5" x14ac:dyDescent="0.25">
      <c r="A2148" s="18">
        <v>1953</v>
      </c>
      <c r="B2148" s="18" t="s">
        <v>74</v>
      </c>
      <c r="C2148" s="18">
        <v>0</v>
      </c>
      <c r="D2148" s="18">
        <v>0</v>
      </c>
      <c r="E2148" s="18">
        <v>0</v>
      </c>
    </row>
    <row r="2149" spans="1:5" x14ac:dyDescent="0.25">
      <c r="A2149" s="18">
        <v>1954</v>
      </c>
      <c r="B2149" s="18" t="s">
        <v>74</v>
      </c>
      <c r="C2149" s="18">
        <v>0</v>
      </c>
      <c r="D2149" s="18">
        <v>0</v>
      </c>
      <c r="E2149" s="18">
        <v>0</v>
      </c>
    </row>
    <row r="2150" spans="1:5" x14ac:dyDescent="0.25">
      <c r="A2150" s="18">
        <v>1955</v>
      </c>
      <c r="B2150" s="18" t="s">
        <v>74</v>
      </c>
      <c r="C2150" s="18">
        <v>0</v>
      </c>
      <c r="D2150" s="18">
        <v>0</v>
      </c>
      <c r="E2150" s="18">
        <v>0</v>
      </c>
    </row>
    <row r="2151" spans="1:5" x14ac:dyDescent="0.25">
      <c r="A2151" s="18">
        <v>1956</v>
      </c>
      <c r="B2151" s="18" t="s">
        <v>74</v>
      </c>
      <c r="C2151" s="18">
        <v>0</v>
      </c>
      <c r="D2151" s="18">
        <v>0</v>
      </c>
      <c r="E2151" s="18">
        <v>0</v>
      </c>
    </row>
    <row r="2152" spans="1:5" x14ac:dyDescent="0.25">
      <c r="A2152" s="18">
        <v>1957</v>
      </c>
      <c r="B2152" s="18" t="s">
        <v>74</v>
      </c>
      <c r="C2152" s="18">
        <v>0</v>
      </c>
      <c r="D2152" s="18">
        <v>0</v>
      </c>
      <c r="E2152" s="18">
        <v>0</v>
      </c>
    </row>
    <row r="2153" spans="1:5" x14ac:dyDescent="0.25">
      <c r="A2153" s="18">
        <v>1958</v>
      </c>
      <c r="B2153" s="18" t="s">
        <v>74</v>
      </c>
      <c r="C2153" s="18">
        <v>0</v>
      </c>
      <c r="D2153" s="18">
        <v>0</v>
      </c>
      <c r="E2153" s="18">
        <v>0</v>
      </c>
    </row>
    <row r="2154" spans="1:5" x14ac:dyDescent="0.25">
      <c r="A2154" s="18">
        <v>1959</v>
      </c>
      <c r="B2154" s="18" t="s">
        <v>74</v>
      </c>
      <c r="C2154" s="18">
        <v>0</v>
      </c>
      <c r="D2154" s="18">
        <v>0</v>
      </c>
      <c r="E2154" s="18">
        <v>0</v>
      </c>
    </row>
    <row r="2155" spans="1:5" x14ac:dyDescent="0.25">
      <c r="A2155" s="18">
        <v>1960</v>
      </c>
      <c r="B2155" s="18" t="s">
        <v>74</v>
      </c>
      <c r="C2155" s="18">
        <v>0</v>
      </c>
      <c r="D2155" s="18">
        <v>0</v>
      </c>
      <c r="E2155" s="18">
        <v>0</v>
      </c>
    </row>
    <row r="2156" spans="1:5" x14ac:dyDescent="0.25">
      <c r="A2156" s="18">
        <v>1961</v>
      </c>
      <c r="B2156" s="18" t="s">
        <v>74</v>
      </c>
      <c r="C2156" s="18">
        <v>0</v>
      </c>
      <c r="D2156" s="18">
        <v>0</v>
      </c>
      <c r="E2156" s="18">
        <v>0</v>
      </c>
    </row>
    <row r="2157" spans="1:5" x14ac:dyDescent="0.25">
      <c r="A2157" s="18">
        <v>1962</v>
      </c>
      <c r="B2157" s="18" t="s">
        <v>74</v>
      </c>
      <c r="C2157" s="18">
        <v>0</v>
      </c>
      <c r="D2157" s="18">
        <v>0</v>
      </c>
      <c r="E2157" s="18">
        <v>0</v>
      </c>
    </row>
    <row r="2158" spans="1:5" x14ac:dyDescent="0.25">
      <c r="A2158" s="18">
        <v>1963</v>
      </c>
      <c r="B2158" s="18" t="s">
        <v>74</v>
      </c>
      <c r="C2158" s="18">
        <v>0</v>
      </c>
      <c r="D2158" s="18">
        <v>0</v>
      </c>
      <c r="E2158" s="18">
        <v>0</v>
      </c>
    </row>
    <row r="2159" spans="1:5" x14ac:dyDescent="0.25">
      <c r="A2159" s="18">
        <v>1964</v>
      </c>
      <c r="B2159" s="18" t="s">
        <v>74</v>
      </c>
      <c r="C2159" s="18">
        <v>0</v>
      </c>
      <c r="D2159" s="18">
        <v>0</v>
      </c>
      <c r="E2159" s="18">
        <v>0</v>
      </c>
    </row>
    <row r="2160" spans="1:5" x14ac:dyDescent="0.25">
      <c r="A2160" s="18">
        <v>1965</v>
      </c>
      <c r="B2160" s="18" t="s">
        <v>74</v>
      </c>
      <c r="C2160" s="18">
        <v>0</v>
      </c>
      <c r="D2160" s="18">
        <v>0</v>
      </c>
      <c r="E2160" s="18">
        <v>0</v>
      </c>
    </row>
    <row r="2161" spans="1:5" x14ac:dyDescent="0.25">
      <c r="A2161" s="18">
        <v>1966</v>
      </c>
      <c r="B2161" s="18" t="s">
        <v>74</v>
      </c>
      <c r="C2161" s="18">
        <v>0</v>
      </c>
      <c r="D2161" s="18">
        <v>0</v>
      </c>
      <c r="E2161" s="18">
        <v>0</v>
      </c>
    </row>
    <row r="2162" spans="1:5" x14ac:dyDescent="0.25">
      <c r="A2162" s="18">
        <v>1967</v>
      </c>
      <c r="B2162" s="18" t="s">
        <v>74</v>
      </c>
      <c r="C2162" s="18">
        <v>0</v>
      </c>
      <c r="D2162" s="18">
        <v>0</v>
      </c>
      <c r="E2162" s="18">
        <v>0</v>
      </c>
    </row>
    <row r="2163" spans="1:5" x14ac:dyDescent="0.25">
      <c r="A2163" s="18">
        <v>1968</v>
      </c>
      <c r="B2163" s="18" t="s">
        <v>74</v>
      </c>
      <c r="C2163" s="18">
        <v>0</v>
      </c>
      <c r="D2163" s="18">
        <v>0</v>
      </c>
      <c r="E2163" s="18">
        <v>0</v>
      </c>
    </row>
    <row r="2164" spans="1:5" x14ac:dyDescent="0.25">
      <c r="A2164" s="18">
        <v>1969</v>
      </c>
      <c r="B2164" s="18" t="s">
        <v>74</v>
      </c>
      <c r="C2164" s="18">
        <v>0</v>
      </c>
      <c r="D2164" s="18">
        <v>0</v>
      </c>
      <c r="E2164" s="18">
        <v>0</v>
      </c>
    </row>
    <row r="2165" spans="1:5" x14ac:dyDescent="0.25">
      <c r="A2165" s="18">
        <v>1970</v>
      </c>
      <c r="B2165" s="18" t="s">
        <v>74</v>
      </c>
      <c r="C2165" s="18">
        <v>0</v>
      </c>
      <c r="D2165" s="18">
        <v>0</v>
      </c>
      <c r="E2165" s="18">
        <v>0</v>
      </c>
    </row>
    <row r="2166" spans="1:5" x14ac:dyDescent="0.25">
      <c r="A2166" s="18">
        <v>1971</v>
      </c>
      <c r="B2166" s="18" t="s">
        <v>74</v>
      </c>
      <c r="C2166" s="18">
        <v>0</v>
      </c>
      <c r="D2166" s="18">
        <v>0</v>
      </c>
      <c r="E2166" s="18">
        <v>0</v>
      </c>
    </row>
    <row r="2167" spans="1:5" x14ac:dyDescent="0.25">
      <c r="A2167" s="18">
        <v>1972</v>
      </c>
      <c r="B2167" s="18" t="s">
        <v>74</v>
      </c>
      <c r="C2167" s="18">
        <v>0</v>
      </c>
      <c r="D2167" s="18">
        <v>0</v>
      </c>
      <c r="E2167" s="18">
        <v>0</v>
      </c>
    </row>
    <row r="2168" spans="1:5" x14ac:dyDescent="0.25">
      <c r="A2168" s="18">
        <v>1973</v>
      </c>
      <c r="B2168" s="18" t="s">
        <v>74</v>
      </c>
      <c r="C2168" s="18">
        <v>0</v>
      </c>
      <c r="D2168" s="18">
        <v>0</v>
      </c>
      <c r="E2168" s="18">
        <v>0</v>
      </c>
    </row>
    <row r="2169" spans="1:5" x14ac:dyDescent="0.25">
      <c r="A2169" s="18">
        <v>1974</v>
      </c>
      <c r="B2169" s="18" t="s">
        <v>74</v>
      </c>
      <c r="C2169" s="18">
        <v>0</v>
      </c>
      <c r="D2169" s="18">
        <v>0</v>
      </c>
      <c r="E2169" s="18">
        <v>0</v>
      </c>
    </row>
    <row r="2170" spans="1:5" x14ac:dyDescent="0.25">
      <c r="A2170" s="18">
        <v>1975</v>
      </c>
      <c r="B2170" s="18" t="s">
        <v>74</v>
      </c>
      <c r="C2170" s="18">
        <v>2275</v>
      </c>
      <c r="D2170" s="18">
        <v>2707</v>
      </c>
      <c r="E2170" s="18">
        <v>4982</v>
      </c>
    </row>
    <row r="2171" spans="1:5" x14ac:dyDescent="0.25">
      <c r="A2171" s="18">
        <v>1976</v>
      </c>
      <c r="B2171" s="18" t="s">
        <v>74</v>
      </c>
      <c r="C2171" s="18">
        <v>0</v>
      </c>
      <c r="D2171" s="18">
        <v>0</v>
      </c>
      <c r="E2171" s="18">
        <v>0</v>
      </c>
    </row>
    <row r="2172" spans="1:5" x14ac:dyDescent="0.25">
      <c r="A2172" s="18">
        <v>1977</v>
      </c>
      <c r="B2172" s="18" t="s">
        <v>74</v>
      </c>
      <c r="C2172" s="18">
        <v>0</v>
      </c>
      <c r="D2172" s="18">
        <v>0</v>
      </c>
      <c r="E2172" s="18">
        <v>0</v>
      </c>
    </row>
    <row r="2173" spans="1:5" x14ac:dyDescent="0.25">
      <c r="A2173" s="18">
        <v>1978</v>
      </c>
      <c r="B2173" s="18" t="s">
        <v>74</v>
      </c>
      <c r="C2173" s="18">
        <v>0</v>
      </c>
      <c r="D2173" s="18">
        <v>0</v>
      </c>
      <c r="E2173" s="18">
        <v>0</v>
      </c>
    </row>
    <row r="2174" spans="1:5" x14ac:dyDescent="0.25">
      <c r="A2174" s="18">
        <v>1979</v>
      </c>
      <c r="B2174" s="18" t="s">
        <v>74</v>
      </c>
      <c r="C2174" s="18">
        <v>0</v>
      </c>
      <c r="D2174" s="18">
        <v>0</v>
      </c>
      <c r="E2174" s="18">
        <v>0</v>
      </c>
    </row>
    <row r="2175" spans="1:5" x14ac:dyDescent="0.25">
      <c r="A2175" s="18">
        <v>1980</v>
      </c>
      <c r="B2175" s="18" t="s">
        <v>74</v>
      </c>
      <c r="C2175" s="18">
        <v>2364</v>
      </c>
      <c r="D2175" s="18">
        <v>2474</v>
      </c>
      <c r="E2175" s="18">
        <v>4837</v>
      </c>
    </row>
    <row r="2176" spans="1:5" x14ac:dyDescent="0.25">
      <c r="A2176" s="18">
        <v>1981</v>
      </c>
      <c r="B2176" s="18" t="s">
        <v>74</v>
      </c>
      <c r="C2176" s="18">
        <v>0</v>
      </c>
      <c r="D2176" s="18">
        <v>0</v>
      </c>
      <c r="E2176" s="18">
        <v>0</v>
      </c>
    </row>
    <row r="2177" spans="1:5" x14ac:dyDescent="0.25">
      <c r="A2177" s="18">
        <v>1982</v>
      </c>
      <c r="B2177" s="18" t="s">
        <v>74</v>
      </c>
      <c r="C2177" s="18">
        <v>0</v>
      </c>
      <c r="D2177" s="18">
        <v>0</v>
      </c>
      <c r="E2177" s="18">
        <v>0</v>
      </c>
    </row>
    <row r="2178" spans="1:5" x14ac:dyDescent="0.25">
      <c r="A2178" s="18">
        <v>1983</v>
      </c>
      <c r="B2178" s="18" t="s">
        <v>74</v>
      </c>
      <c r="C2178" s="18">
        <v>0</v>
      </c>
      <c r="D2178" s="18">
        <v>0</v>
      </c>
      <c r="E2178" s="18">
        <v>0</v>
      </c>
    </row>
    <row r="2179" spans="1:5" x14ac:dyDescent="0.25">
      <c r="A2179" s="18">
        <v>1984</v>
      </c>
      <c r="B2179" s="18" t="s">
        <v>74</v>
      </c>
      <c r="C2179" s="18">
        <v>0</v>
      </c>
      <c r="D2179" s="18">
        <v>0</v>
      </c>
      <c r="E2179" s="18">
        <v>0</v>
      </c>
    </row>
    <row r="2180" spans="1:5" x14ac:dyDescent="0.25">
      <c r="A2180" s="18">
        <v>1985</v>
      </c>
      <c r="B2180" s="18" t="s">
        <v>74</v>
      </c>
      <c r="C2180" s="18">
        <v>2074</v>
      </c>
      <c r="D2180" s="18">
        <v>2158</v>
      </c>
      <c r="E2180" s="18">
        <v>4232</v>
      </c>
    </row>
    <row r="2181" spans="1:5" x14ac:dyDescent="0.25">
      <c r="A2181" s="18">
        <v>1986</v>
      </c>
      <c r="B2181" s="18" t="s">
        <v>74</v>
      </c>
      <c r="C2181" s="18">
        <v>0</v>
      </c>
      <c r="D2181" s="18">
        <v>0</v>
      </c>
      <c r="E2181" s="18">
        <v>0</v>
      </c>
    </row>
    <row r="2182" spans="1:5" x14ac:dyDescent="0.25">
      <c r="A2182" s="18">
        <v>1987</v>
      </c>
      <c r="B2182" s="18" t="s">
        <v>74</v>
      </c>
      <c r="C2182" s="18">
        <v>0</v>
      </c>
      <c r="D2182" s="18">
        <v>0</v>
      </c>
      <c r="E2182" s="18">
        <v>0</v>
      </c>
    </row>
    <row r="2183" spans="1:5" x14ac:dyDescent="0.25">
      <c r="A2183" s="18">
        <v>1988</v>
      </c>
      <c r="B2183" s="18" t="s">
        <v>74</v>
      </c>
      <c r="C2183" s="18">
        <v>0</v>
      </c>
      <c r="D2183" s="18">
        <v>0</v>
      </c>
      <c r="E2183" s="18">
        <v>0</v>
      </c>
    </row>
    <row r="2184" spans="1:5" x14ac:dyDescent="0.25">
      <c r="A2184" s="18">
        <v>1989</v>
      </c>
      <c r="B2184" s="18" t="s">
        <v>74</v>
      </c>
      <c r="C2184" s="18">
        <v>0</v>
      </c>
      <c r="D2184" s="18">
        <v>0</v>
      </c>
      <c r="E2184" s="18">
        <v>0</v>
      </c>
    </row>
    <row r="2185" spans="1:5" x14ac:dyDescent="0.25">
      <c r="A2185" s="18">
        <v>1990</v>
      </c>
      <c r="B2185" s="18" t="s">
        <v>74</v>
      </c>
      <c r="C2185" s="18">
        <v>2681</v>
      </c>
      <c r="D2185" s="18">
        <v>2881</v>
      </c>
      <c r="E2185" s="18">
        <v>5562</v>
      </c>
    </row>
    <row r="2186" spans="1:5" x14ac:dyDescent="0.25">
      <c r="A2186" s="18">
        <v>1991</v>
      </c>
      <c r="B2186" s="18" t="s">
        <v>74</v>
      </c>
      <c r="C2186" s="18">
        <v>0</v>
      </c>
      <c r="D2186" s="18">
        <v>0</v>
      </c>
      <c r="E2186" s="18">
        <v>0</v>
      </c>
    </row>
    <row r="2187" spans="1:5" x14ac:dyDescent="0.25">
      <c r="A2187" s="18">
        <v>1992</v>
      </c>
      <c r="B2187" s="18" t="s">
        <v>74</v>
      </c>
      <c r="C2187" s="18">
        <v>0</v>
      </c>
      <c r="D2187" s="18">
        <v>0</v>
      </c>
      <c r="E2187" s="18">
        <v>0</v>
      </c>
    </row>
    <row r="2188" spans="1:5" x14ac:dyDescent="0.25">
      <c r="A2188" s="18">
        <v>1993</v>
      </c>
      <c r="B2188" s="18" t="s">
        <v>74</v>
      </c>
      <c r="C2188" s="18">
        <v>0</v>
      </c>
      <c r="D2188" s="18">
        <v>0</v>
      </c>
      <c r="E2188" s="18">
        <v>0</v>
      </c>
    </row>
    <row r="2189" spans="1:5" x14ac:dyDescent="0.25">
      <c r="A2189" s="18">
        <v>1994</v>
      </c>
      <c r="B2189" s="18" t="s">
        <v>74</v>
      </c>
      <c r="C2189" s="18">
        <v>0</v>
      </c>
      <c r="D2189" s="18">
        <v>0</v>
      </c>
      <c r="E2189" s="18">
        <v>0</v>
      </c>
    </row>
    <row r="2190" spans="1:5" x14ac:dyDescent="0.25">
      <c r="A2190" s="18">
        <v>1995</v>
      </c>
      <c r="B2190" s="18" t="s">
        <v>74</v>
      </c>
      <c r="C2190" s="18">
        <v>0</v>
      </c>
      <c r="D2190" s="18">
        <v>0</v>
      </c>
      <c r="E2190" s="18">
        <v>0</v>
      </c>
    </row>
    <row r="2191" spans="1:5" x14ac:dyDescent="0.25">
      <c r="A2191" s="18">
        <v>1996</v>
      </c>
      <c r="B2191" s="18" t="s">
        <v>74</v>
      </c>
      <c r="C2191" s="18">
        <v>0</v>
      </c>
      <c r="D2191" s="18">
        <v>0</v>
      </c>
      <c r="E2191" s="18">
        <v>0</v>
      </c>
    </row>
    <row r="2192" spans="1:5" x14ac:dyDescent="0.25">
      <c r="A2192" s="18">
        <v>1997</v>
      </c>
      <c r="B2192" s="18" t="s">
        <v>74</v>
      </c>
      <c r="C2192" s="18">
        <v>0</v>
      </c>
      <c r="D2192" s="18">
        <v>0</v>
      </c>
      <c r="E2192" s="18">
        <v>0</v>
      </c>
    </row>
    <row r="2193" spans="1:5" x14ac:dyDescent="0.25">
      <c r="A2193" s="18">
        <v>1998</v>
      </c>
      <c r="B2193" s="18" t="s">
        <v>74</v>
      </c>
      <c r="C2193" s="18">
        <v>0</v>
      </c>
      <c r="D2193" s="18">
        <v>0</v>
      </c>
      <c r="E2193" s="18">
        <v>0</v>
      </c>
    </row>
    <row r="2194" spans="1:5" x14ac:dyDescent="0.25">
      <c r="A2194" s="18">
        <v>1999</v>
      </c>
      <c r="B2194" s="18" t="s">
        <v>74</v>
      </c>
      <c r="C2194" s="18">
        <v>0</v>
      </c>
      <c r="D2194" s="18">
        <v>0</v>
      </c>
      <c r="E2194" s="18">
        <v>0</v>
      </c>
    </row>
    <row r="2195" spans="1:5" x14ac:dyDescent="0.25">
      <c r="A2195" s="18">
        <v>2000</v>
      </c>
      <c r="B2195" s="18" t="s">
        <v>74</v>
      </c>
      <c r="C2195" s="18">
        <v>3607</v>
      </c>
      <c r="D2195" s="18">
        <v>3775</v>
      </c>
      <c r="E2195" s="18">
        <v>7382</v>
      </c>
    </row>
    <row r="2196" spans="1:5" x14ac:dyDescent="0.25">
      <c r="A2196" s="18">
        <v>2001</v>
      </c>
      <c r="B2196" s="18" t="s">
        <v>74</v>
      </c>
      <c r="C2196" s="18">
        <v>0</v>
      </c>
      <c r="D2196" s="18">
        <v>0</v>
      </c>
      <c r="E2196" s="18">
        <v>0</v>
      </c>
    </row>
    <row r="2197" spans="1:5" x14ac:dyDescent="0.25">
      <c r="A2197" s="18">
        <v>2002</v>
      </c>
      <c r="B2197" s="18" t="s">
        <v>74</v>
      </c>
      <c r="C2197" s="18">
        <v>0</v>
      </c>
      <c r="D2197" s="18">
        <v>0</v>
      </c>
      <c r="E2197" s="18">
        <v>0</v>
      </c>
    </row>
    <row r="2198" spans="1:5" x14ac:dyDescent="0.25">
      <c r="A2198" s="18">
        <v>2003</v>
      </c>
      <c r="B2198" s="18" t="s">
        <v>74</v>
      </c>
      <c r="C2198" s="18">
        <v>0</v>
      </c>
      <c r="D2198" s="18">
        <v>0</v>
      </c>
      <c r="E2198" s="18">
        <v>0</v>
      </c>
    </row>
    <row r="2199" spans="1:5" x14ac:dyDescent="0.25">
      <c r="A2199" s="18">
        <v>2004</v>
      </c>
      <c r="B2199" s="18" t="s">
        <v>74</v>
      </c>
      <c r="C2199" s="18">
        <v>0</v>
      </c>
      <c r="D2199" s="18">
        <v>0</v>
      </c>
      <c r="E2199" s="18">
        <v>0</v>
      </c>
    </row>
    <row r="2200" spans="1:5" x14ac:dyDescent="0.25">
      <c r="A2200" s="18">
        <v>2005</v>
      </c>
      <c r="B2200" s="18" t="s">
        <v>74</v>
      </c>
      <c r="C2200" s="18">
        <v>0</v>
      </c>
      <c r="D2200" s="18">
        <v>0</v>
      </c>
      <c r="E2200" s="18">
        <v>0</v>
      </c>
    </row>
    <row r="2201" spans="1:5" x14ac:dyDescent="0.25">
      <c r="A2201" s="18">
        <v>2006</v>
      </c>
      <c r="B2201" s="18" t="s">
        <v>74</v>
      </c>
      <c r="C2201" s="18">
        <v>0</v>
      </c>
      <c r="D2201" s="18">
        <v>0</v>
      </c>
      <c r="E2201" s="18">
        <v>0</v>
      </c>
    </row>
    <row r="2202" spans="1:5" x14ac:dyDescent="0.25">
      <c r="A2202" s="18">
        <v>2007</v>
      </c>
      <c r="B2202" s="18" t="s">
        <v>74</v>
      </c>
      <c r="C2202" s="18">
        <v>0</v>
      </c>
      <c r="D2202" s="18">
        <v>0</v>
      </c>
      <c r="E2202" s="18">
        <v>0</v>
      </c>
    </row>
    <row r="2203" spans="1:5" x14ac:dyDescent="0.25">
      <c r="A2203" s="18">
        <v>2008</v>
      </c>
      <c r="B2203" s="18" t="s">
        <v>74</v>
      </c>
      <c r="C2203" s="18">
        <v>0</v>
      </c>
      <c r="D2203" s="18">
        <v>0</v>
      </c>
      <c r="E2203" s="18">
        <v>0</v>
      </c>
    </row>
    <row r="2204" spans="1:5" x14ac:dyDescent="0.25">
      <c r="A2204" s="18">
        <v>1950</v>
      </c>
      <c r="B2204" s="18" t="s">
        <v>87</v>
      </c>
      <c r="C2204" s="18">
        <v>0</v>
      </c>
      <c r="D2204" s="18">
        <v>0</v>
      </c>
      <c r="E2204" s="18">
        <v>0</v>
      </c>
    </row>
    <row r="2205" spans="1:5" x14ac:dyDescent="0.25">
      <c r="A2205" s="18">
        <v>1951</v>
      </c>
      <c r="B2205" s="18" t="s">
        <v>87</v>
      </c>
      <c r="C2205" s="18">
        <v>0</v>
      </c>
      <c r="D2205" s="18">
        <v>0</v>
      </c>
      <c r="E2205" s="18">
        <v>0</v>
      </c>
    </row>
    <row r="2206" spans="1:5" x14ac:dyDescent="0.25">
      <c r="A2206" s="18">
        <v>1952</v>
      </c>
      <c r="B2206" s="18" t="s">
        <v>87</v>
      </c>
      <c r="C2206" s="18">
        <v>0</v>
      </c>
      <c r="D2206" s="18">
        <v>0</v>
      </c>
      <c r="E2206" s="18">
        <v>0</v>
      </c>
    </row>
    <row r="2207" spans="1:5" x14ac:dyDescent="0.25">
      <c r="A2207" s="18">
        <v>1953</v>
      </c>
      <c r="B2207" s="18" t="s">
        <v>87</v>
      </c>
      <c r="C2207" s="18">
        <v>0</v>
      </c>
      <c r="D2207" s="18">
        <v>0</v>
      </c>
      <c r="E2207" s="18">
        <v>0</v>
      </c>
    </row>
    <row r="2208" spans="1:5" x14ac:dyDescent="0.25">
      <c r="A2208" s="18">
        <v>1954</v>
      </c>
      <c r="B2208" s="18" t="s">
        <v>87</v>
      </c>
      <c r="C2208" s="18">
        <v>0</v>
      </c>
      <c r="D2208" s="18">
        <v>0</v>
      </c>
      <c r="E2208" s="18">
        <v>0</v>
      </c>
    </row>
    <row r="2209" spans="1:5" x14ac:dyDescent="0.25">
      <c r="A2209" s="18">
        <v>1955</v>
      </c>
      <c r="B2209" s="18" t="s">
        <v>87</v>
      </c>
      <c r="C2209" s="18">
        <v>0</v>
      </c>
      <c r="D2209" s="18">
        <v>0</v>
      </c>
      <c r="E2209" s="18">
        <v>0</v>
      </c>
    </row>
    <row r="2210" spans="1:5" x14ac:dyDescent="0.25">
      <c r="A2210" s="18">
        <v>1956</v>
      </c>
      <c r="B2210" s="18" t="s">
        <v>87</v>
      </c>
      <c r="C2210" s="18">
        <v>0</v>
      </c>
      <c r="D2210" s="18">
        <v>0</v>
      </c>
      <c r="E2210" s="18">
        <v>0</v>
      </c>
    </row>
    <row r="2211" spans="1:5" x14ac:dyDescent="0.25">
      <c r="A2211" s="18">
        <v>1957</v>
      </c>
      <c r="B2211" s="18" t="s">
        <v>87</v>
      </c>
      <c r="C2211" s="18">
        <v>0</v>
      </c>
      <c r="D2211" s="18">
        <v>0</v>
      </c>
      <c r="E2211" s="18">
        <v>0</v>
      </c>
    </row>
    <row r="2212" spans="1:5" x14ac:dyDescent="0.25">
      <c r="A2212" s="18">
        <v>1958</v>
      </c>
      <c r="B2212" s="18" t="s">
        <v>87</v>
      </c>
      <c r="C2212" s="18">
        <v>0</v>
      </c>
      <c r="D2212" s="18">
        <v>0</v>
      </c>
      <c r="E2212" s="18">
        <v>0</v>
      </c>
    </row>
    <row r="2213" spans="1:5" x14ac:dyDescent="0.25">
      <c r="A2213" s="18">
        <v>1959</v>
      </c>
      <c r="B2213" s="18" t="s">
        <v>87</v>
      </c>
      <c r="C2213" s="18">
        <v>0</v>
      </c>
      <c r="D2213" s="18">
        <v>0</v>
      </c>
      <c r="E2213" s="18">
        <v>0</v>
      </c>
    </row>
    <row r="2214" spans="1:5" x14ac:dyDescent="0.25">
      <c r="A2214" s="18">
        <v>1960</v>
      </c>
      <c r="B2214" s="18" t="s">
        <v>87</v>
      </c>
      <c r="C2214" s="18">
        <v>0</v>
      </c>
      <c r="D2214" s="18">
        <v>0</v>
      </c>
      <c r="E2214" s="18">
        <v>0</v>
      </c>
    </row>
    <row r="2215" spans="1:5" x14ac:dyDescent="0.25">
      <c r="A2215" s="18">
        <v>1961</v>
      </c>
      <c r="B2215" s="18" t="s">
        <v>87</v>
      </c>
      <c r="C2215" s="18">
        <v>0</v>
      </c>
      <c r="D2215" s="18">
        <v>0</v>
      </c>
      <c r="E2215" s="18">
        <v>0</v>
      </c>
    </row>
    <row r="2216" spans="1:5" x14ac:dyDescent="0.25">
      <c r="A2216" s="18">
        <v>1962</v>
      </c>
      <c r="B2216" s="18" t="s">
        <v>87</v>
      </c>
      <c r="C2216" s="18">
        <v>0</v>
      </c>
      <c r="D2216" s="18">
        <v>0</v>
      </c>
      <c r="E2216" s="18">
        <v>0</v>
      </c>
    </row>
    <row r="2217" spans="1:5" x14ac:dyDescent="0.25">
      <c r="A2217" s="18">
        <v>1963</v>
      </c>
      <c r="B2217" s="18" t="s">
        <v>87</v>
      </c>
      <c r="C2217" s="18">
        <v>0</v>
      </c>
      <c r="D2217" s="18">
        <v>0</v>
      </c>
      <c r="E2217" s="18">
        <v>0</v>
      </c>
    </row>
    <row r="2218" spans="1:5" x14ac:dyDescent="0.25">
      <c r="A2218" s="18">
        <v>1964</v>
      </c>
      <c r="B2218" s="18" t="s">
        <v>87</v>
      </c>
      <c r="C2218" s="18">
        <v>0</v>
      </c>
      <c r="D2218" s="18">
        <v>0</v>
      </c>
      <c r="E2218" s="18">
        <v>0</v>
      </c>
    </row>
    <row r="2219" spans="1:5" x14ac:dyDescent="0.25">
      <c r="A2219" s="18">
        <v>1965</v>
      </c>
      <c r="B2219" s="18" t="s">
        <v>87</v>
      </c>
      <c r="C2219" s="18">
        <v>0</v>
      </c>
      <c r="D2219" s="18">
        <v>0</v>
      </c>
      <c r="E2219" s="18">
        <v>0</v>
      </c>
    </row>
    <row r="2220" spans="1:5" x14ac:dyDescent="0.25">
      <c r="A2220" s="18">
        <v>1966</v>
      </c>
      <c r="B2220" s="18" t="s">
        <v>87</v>
      </c>
      <c r="C2220" s="18">
        <v>0</v>
      </c>
      <c r="D2220" s="18">
        <v>0</v>
      </c>
      <c r="E2220" s="18">
        <v>0</v>
      </c>
    </row>
    <row r="2221" spans="1:5" x14ac:dyDescent="0.25">
      <c r="A2221" s="18">
        <v>1967</v>
      </c>
      <c r="B2221" s="18" t="s">
        <v>87</v>
      </c>
      <c r="C2221" s="18">
        <v>0</v>
      </c>
      <c r="D2221" s="18">
        <v>0</v>
      </c>
      <c r="E2221" s="18">
        <v>0</v>
      </c>
    </row>
    <row r="2222" spans="1:5" x14ac:dyDescent="0.25">
      <c r="A2222" s="18">
        <v>1968</v>
      </c>
      <c r="B2222" s="18" t="s">
        <v>87</v>
      </c>
      <c r="C2222" s="18">
        <v>0</v>
      </c>
      <c r="D2222" s="18">
        <v>0</v>
      </c>
      <c r="E2222" s="18">
        <v>0</v>
      </c>
    </row>
    <row r="2223" spans="1:5" x14ac:dyDescent="0.25">
      <c r="A2223" s="18">
        <v>1969</v>
      </c>
      <c r="B2223" s="18" t="s">
        <v>87</v>
      </c>
      <c r="C2223" s="18">
        <v>0</v>
      </c>
      <c r="D2223" s="18">
        <v>0</v>
      </c>
      <c r="E2223" s="18">
        <v>0</v>
      </c>
    </row>
    <row r="2224" spans="1:5" x14ac:dyDescent="0.25">
      <c r="A2224" s="18">
        <v>1970</v>
      </c>
      <c r="B2224" s="18" t="s">
        <v>87</v>
      </c>
      <c r="C2224" s="18">
        <v>2999</v>
      </c>
      <c r="D2224" s="18">
        <v>2953</v>
      </c>
      <c r="E2224" s="18">
        <v>5952</v>
      </c>
    </row>
    <row r="2225" spans="1:5" x14ac:dyDescent="0.25">
      <c r="A2225" s="18">
        <v>1971</v>
      </c>
      <c r="B2225" s="18" t="s">
        <v>87</v>
      </c>
      <c r="C2225" s="18">
        <v>0</v>
      </c>
      <c r="D2225" s="18">
        <v>0</v>
      </c>
      <c r="E2225" s="18">
        <v>0</v>
      </c>
    </row>
    <row r="2226" spans="1:5" x14ac:dyDescent="0.25">
      <c r="A2226" s="18">
        <v>1972</v>
      </c>
      <c r="B2226" s="18" t="s">
        <v>87</v>
      </c>
      <c r="C2226" s="18">
        <v>0</v>
      </c>
      <c r="D2226" s="18">
        <v>0</v>
      </c>
      <c r="E2226" s="18">
        <v>0</v>
      </c>
    </row>
    <row r="2227" spans="1:5" x14ac:dyDescent="0.25">
      <c r="A2227" s="18">
        <v>1973</v>
      </c>
      <c r="B2227" s="18" t="s">
        <v>87</v>
      </c>
      <c r="C2227" s="18">
        <v>0</v>
      </c>
      <c r="D2227" s="18">
        <v>0</v>
      </c>
      <c r="E2227" s="18">
        <v>0</v>
      </c>
    </row>
    <row r="2228" spans="1:5" x14ac:dyDescent="0.25">
      <c r="A2228" s="18">
        <v>1974</v>
      </c>
      <c r="B2228" s="18" t="s">
        <v>87</v>
      </c>
      <c r="C2228" s="18">
        <v>0</v>
      </c>
      <c r="D2228" s="18">
        <v>0</v>
      </c>
      <c r="E2228" s="18">
        <v>0</v>
      </c>
    </row>
    <row r="2229" spans="1:5" x14ac:dyDescent="0.25">
      <c r="A2229" s="18">
        <v>1975</v>
      </c>
      <c r="B2229" s="18" t="s">
        <v>87</v>
      </c>
      <c r="C2229" s="18">
        <v>3852</v>
      </c>
      <c r="D2229" s="18">
        <v>4222</v>
      </c>
      <c r="E2229" s="18">
        <v>8074</v>
      </c>
    </row>
    <row r="2230" spans="1:5" x14ac:dyDescent="0.25">
      <c r="A2230" s="18">
        <v>1976</v>
      </c>
      <c r="B2230" s="18" t="s">
        <v>87</v>
      </c>
      <c r="C2230" s="18">
        <v>0</v>
      </c>
      <c r="D2230" s="18">
        <v>0</v>
      </c>
      <c r="E2230" s="18">
        <v>0</v>
      </c>
    </row>
    <row r="2231" spans="1:5" x14ac:dyDescent="0.25">
      <c r="A2231" s="18">
        <v>1977</v>
      </c>
      <c r="B2231" s="18" t="s">
        <v>87</v>
      </c>
      <c r="C2231" s="18">
        <v>0</v>
      </c>
      <c r="D2231" s="18">
        <v>0</v>
      </c>
      <c r="E2231" s="18">
        <v>0</v>
      </c>
    </row>
    <row r="2232" spans="1:5" x14ac:dyDescent="0.25">
      <c r="A2232" s="18">
        <v>1978</v>
      </c>
      <c r="B2232" s="18" t="s">
        <v>87</v>
      </c>
      <c r="C2232" s="18">
        <v>0</v>
      </c>
      <c r="D2232" s="18">
        <v>0</v>
      </c>
      <c r="E2232" s="18">
        <v>0</v>
      </c>
    </row>
    <row r="2233" spans="1:5" x14ac:dyDescent="0.25">
      <c r="A2233" s="18">
        <v>1979</v>
      </c>
      <c r="B2233" s="18" t="s">
        <v>87</v>
      </c>
      <c r="C2233" s="18">
        <v>0</v>
      </c>
      <c r="D2233" s="18">
        <v>0</v>
      </c>
      <c r="E2233" s="18">
        <v>0</v>
      </c>
    </row>
    <row r="2234" spans="1:5" x14ac:dyDescent="0.25">
      <c r="A2234" s="18">
        <v>1980</v>
      </c>
      <c r="B2234" s="18" t="s">
        <v>87</v>
      </c>
      <c r="C2234" s="18">
        <v>4805</v>
      </c>
      <c r="D2234" s="18">
        <v>4623</v>
      </c>
      <c r="E2234" s="18">
        <v>9428</v>
      </c>
    </row>
    <row r="2235" spans="1:5" x14ac:dyDescent="0.25">
      <c r="A2235" s="18">
        <v>1981</v>
      </c>
      <c r="B2235" s="18" t="s">
        <v>87</v>
      </c>
      <c r="C2235" s="18">
        <v>0</v>
      </c>
      <c r="D2235" s="18">
        <v>0</v>
      </c>
      <c r="E2235" s="18">
        <v>0</v>
      </c>
    </row>
    <row r="2236" spans="1:5" x14ac:dyDescent="0.25">
      <c r="A2236" s="18">
        <v>1982</v>
      </c>
      <c r="B2236" s="18" t="s">
        <v>87</v>
      </c>
      <c r="C2236" s="18">
        <v>0</v>
      </c>
      <c r="D2236" s="18">
        <v>0</v>
      </c>
      <c r="E2236" s="18">
        <v>0</v>
      </c>
    </row>
    <row r="2237" spans="1:5" x14ac:dyDescent="0.25">
      <c r="A2237" s="18">
        <v>1983</v>
      </c>
      <c r="B2237" s="18" t="s">
        <v>87</v>
      </c>
      <c r="C2237" s="18">
        <v>0</v>
      </c>
      <c r="D2237" s="18">
        <v>0</v>
      </c>
      <c r="E2237" s="18">
        <v>0</v>
      </c>
    </row>
    <row r="2238" spans="1:5" x14ac:dyDescent="0.25">
      <c r="A2238" s="18">
        <v>1984</v>
      </c>
      <c r="B2238" s="18" t="s">
        <v>87</v>
      </c>
      <c r="C2238" s="18">
        <v>0</v>
      </c>
      <c r="D2238" s="18">
        <v>0</v>
      </c>
      <c r="E2238" s="18">
        <v>0</v>
      </c>
    </row>
    <row r="2239" spans="1:5" x14ac:dyDescent="0.25">
      <c r="A2239" s="18">
        <v>1985</v>
      </c>
      <c r="B2239" s="18" t="s">
        <v>87</v>
      </c>
      <c r="C2239" s="18">
        <v>4225</v>
      </c>
      <c r="D2239" s="18">
        <v>4447</v>
      </c>
      <c r="E2239" s="18">
        <v>8672</v>
      </c>
    </row>
    <row r="2240" spans="1:5" x14ac:dyDescent="0.25">
      <c r="A2240" s="18">
        <v>1986</v>
      </c>
      <c r="B2240" s="18" t="s">
        <v>87</v>
      </c>
      <c r="C2240" s="18">
        <v>0</v>
      </c>
      <c r="D2240" s="18">
        <v>0</v>
      </c>
      <c r="E2240" s="18">
        <v>0</v>
      </c>
    </row>
    <row r="2241" spans="1:5" x14ac:dyDescent="0.25">
      <c r="A2241" s="18">
        <v>1987</v>
      </c>
      <c r="B2241" s="18" t="s">
        <v>87</v>
      </c>
      <c r="C2241" s="18">
        <v>0</v>
      </c>
      <c r="D2241" s="18">
        <v>0</v>
      </c>
      <c r="E2241" s="18">
        <v>0</v>
      </c>
    </row>
    <row r="2242" spans="1:5" x14ac:dyDescent="0.25">
      <c r="A2242" s="18">
        <v>1988</v>
      </c>
      <c r="B2242" s="18" t="s">
        <v>87</v>
      </c>
      <c r="C2242" s="18">
        <v>0</v>
      </c>
      <c r="D2242" s="18">
        <v>0</v>
      </c>
      <c r="E2242" s="18">
        <v>0</v>
      </c>
    </row>
    <row r="2243" spans="1:5" x14ac:dyDescent="0.25">
      <c r="A2243" s="18">
        <v>1989</v>
      </c>
      <c r="B2243" s="18" t="s">
        <v>87</v>
      </c>
      <c r="C2243" s="18">
        <v>0</v>
      </c>
      <c r="D2243" s="18">
        <v>0</v>
      </c>
      <c r="E2243" s="18">
        <v>0</v>
      </c>
    </row>
    <row r="2244" spans="1:5" x14ac:dyDescent="0.25">
      <c r="A2244" s="18">
        <v>1990</v>
      </c>
      <c r="B2244" s="18" t="s">
        <v>87</v>
      </c>
      <c r="C2244" s="18">
        <v>5020</v>
      </c>
      <c r="D2244" s="18">
        <v>5283</v>
      </c>
      <c r="E2244" s="18">
        <v>10303</v>
      </c>
    </row>
    <row r="2245" spans="1:5" x14ac:dyDescent="0.25">
      <c r="A2245" s="18">
        <v>1991</v>
      </c>
      <c r="B2245" s="18" t="s">
        <v>87</v>
      </c>
      <c r="C2245" s="18">
        <v>0</v>
      </c>
      <c r="D2245" s="18">
        <v>0</v>
      </c>
      <c r="E2245" s="18">
        <v>0</v>
      </c>
    </row>
    <row r="2246" spans="1:5" x14ac:dyDescent="0.25">
      <c r="A2246" s="18">
        <v>1992</v>
      </c>
      <c r="B2246" s="18" t="s">
        <v>87</v>
      </c>
      <c r="C2246" s="18">
        <v>0</v>
      </c>
      <c r="D2246" s="18">
        <v>0</v>
      </c>
      <c r="E2246" s="18">
        <v>0</v>
      </c>
    </row>
    <row r="2247" spans="1:5" x14ac:dyDescent="0.25">
      <c r="A2247" s="18">
        <v>1993</v>
      </c>
      <c r="B2247" s="18" t="s">
        <v>87</v>
      </c>
      <c r="C2247" s="18">
        <v>0</v>
      </c>
      <c r="D2247" s="18">
        <v>0</v>
      </c>
      <c r="E2247" s="18">
        <v>0</v>
      </c>
    </row>
    <row r="2248" spans="1:5" x14ac:dyDescent="0.25">
      <c r="A2248" s="18">
        <v>1994</v>
      </c>
      <c r="B2248" s="18" t="s">
        <v>87</v>
      </c>
      <c r="C2248" s="18">
        <v>0</v>
      </c>
      <c r="D2248" s="18">
        <v>0</v>
      </c>
      <c r="E2248" s="18">
        <v>0</v>
      </c>
    </row>
    <row r="2249" spans="1:5" x14ac:dyDescent="0.25">
      <c r="A2249" s="18">
        <v>1995</v>
      </c>
      <c r="B2249" s="18" t="s">
        <v>87</v>
      </c>
      <c r="C2249" s="18">
        <v>0</v>
      </c>
      <c r="D2249" s="18">
        <v>0</v>
      </c>
      <c r="E2249" s="18">
        <v>0</v>
      </c>
    </row>
    <row r="2250" spans="1:5" x14ac:dyDescent="0.25">
      <c r="A2250" s="18">
        <v>1996</v>
      </c>
      <c r="B2250" s="18" t="s">
        <v>87</v>
      </c>
      <c r="C2250" s="18">
        <v>0</v>
      </c>
      <c r="D2250" s="18">
        <v>0</v>
      </c>
      <c r="E2250" s="18">
        <v>0</v>
      </c>
    </row>
    <row r="2251" spans="1:5" x14ac:dyDescent="0.25">
      <c r="A2251" s="18">
        <v>1997</v>
      </c>
      <c r="B2251" s="18" t="s">
        <v>87</v>
      </c>
      <c r="C2251" s="18">
        <v>0</v>
      </c>
      <c r="D2251" s="18">
        <v>0</v>
      </c>
      <c r="E2251" s="18">
        <v>0</v>
      </c>
    </row>
    <row r="2252" spans="1:5" x14ac:dyDescent="0.25">
      <c r="A2252" s="18">
        <v>1998</v>
      </c>
      <c r="B2252" s="18" t="s">
        <v>87</v>
      </c>
      <c r="C2252" s="18">
        <v>0</v>
      </c>
      <c r="D2252" s="18">
        <v>0</v>
      </c>
      <c r="E2252" s="18">
        <v>0</v>
      </c>
    </row>
    <row r="2253" spans="1:5" x14ac:dyDescent="0.25">
      <c r="A2253" s="18">
        <v>1999</v>
      </c>
      <c r="B2253" s="18" t="s">
        <v>87</v>
      </c>
      <c r="C2253" s="18">
        <v>0</v>
      </c>
      <c r="D2253" s="18">
        <v>0</v>
      </c>
      <c r="E2253" s="18">
        <v>0</v>
      </c>
    </row>
    <row r="2254" spans="1:5" x14ac:dyDescent="0.25">
      <c r="A2254" s="18">
        <v>2000</v>
      </c>
      <c r="B2254" s="18" t="s">
        <v>87</v>
      </c>
      <c r="C2254" s="18">
        <v>5243</v>
      </c>
      <c r="D2254" s="18">
        <v>5383</v>
      </c>
      <c r="E2254" s="18">
        <v>10627</v>
      </c>
    </row>
    <row r="2255" spans="1:5" x14ac:dyDescent="0.25">
      <c r="A2255" s="18">
        <v>2001</v>
      </c>
      <c r="B2255" s="18" t="s">
        <v>87</v>
      </c>
      <c r="C2255" s="18">
        <v>0</v>
      </c>
      <c r="D2255" s="18">
        <v>0</v>
      </c>
      <c r="E2255" s="18">
        <v>0</v>
      </c>
    </row>
    <row r="2256" spans="1:5" x14ac:dyDescent="0.25">
      <c r="A2256" s="18">
        <v>2002</v>
      </c>
      <c r="B2256" s="18" t="s">
        <v>87</v>
      </c>
      <c r="C2256" s="18">
        <v>0</v>
      </c>
      <c r="D2256" s="18">
        <v>0</v>
      </c>
      <c r="E2256" s="18">
        <v>0</v>
      </c>
    </row>
    <row r="2257" spans="1:5" x14ac:dyDescent="0.25">
      <c r="A2257" s="18">
        <v>2003</v>
      </c>
      <c r="B2257" s="18" t="s">
        <v>87</v>
      </c>
      <c r="C2257" s="18">
        <v>0</v>
      </c>
      <c r="D2257" s="18">
        <v>0</v>
      </c>
      <c r="E2257" s="18">
        <v>0</v>
      </c>
    </row>
    <row r="2258" spans="1:5" x14ac:dyDescent="0.25">
      <c r="A2258" s="18">
        <v>2004</v>
      </c>
      <c r="B2258" s="18" t="s">
        <v>87</v>
      </c>
      <c r="C2258" s="18">
        <v>0</v>
      </c>
      <c r="D2258" s="18">
        <v>0</v>
      </c>
      <c r="E2258" s="18">
        <v>0</v>
      </c>
    </row>
    <row r="2259" spans="1:5" x14ac:dyDescent="0.25">
      <c r="A2259" s="18">
        <v>2005</v>
      </c>
      <c r="B2259" s="18" t="s">
        <v>87</v>
      </c>
      <c r="C2259" s="18">
        <v>0</v>
      </c>
      <c r="D2259" s="18">
        <v>0</v>
      </c>
      <c r="E2259" s="18">
        <v>0</v>
      </c>
    </row>
    <row r="2260" spans="1:5" x14ac:dyDescent="0.25">
      <c r="A2260" s="18">
        <v>2006</v>
      </c>
      <c r="B2260" s="18" t="s">
        <v>87</v>
      </c>
      <c r="C2260" s="18">
        <v>0</v>
      </c>
      <c r="D2260" s="18">
        <v>0</v>
      </c>
      <c r="E2260" s="18">
        <v>0</v>
      </c>
    </row>
    <row r="2261" spans="1:5" x14ac:dyDescent="0.25">
      <c r="A2261" s="18">
        <v>2007</v>
      </c>
      <c r="B2261" s="18" t="s">
        <v>87</v>
      </c>
      <c r="C2261" s="18">
        <v>0</v>
      </c>
      <c r="D2261" s="18">
        <v>0</v>
      </c>
      <c r="E2261" s="18">
        <v>0</v>
      </c>
    </row>
    <row r="2262" spans="1:5" x14ac:dyDescent="0.25">
      <c r="A2262" s="18">
        <v>2008</v>
      </c>
      <c r="B2262" s="18" t="s">
        <v>87</v>
      </c>
      <c r="C2262" s="18">
        <v>0</v>
      </c>
      <c r="D2262" s="18">
        <v>0</v>
      </c>
      <c r="E2262" s="18">
        <v>0</v>
      </c>
    </row>
    <row r="2263" spans="1:5" x14ac:dyDescent="0.25">
      <c r="A2263" s="18">
        <v>1950</v>
      </c>
      <c r="B2263" s="18" t="s">
        <v>76</v>
      </c>
      <c r="C2263" s="18">
        <v>0</v>
      </c>
      <c r="D2263" s="18">
        <v>0</v>
      </c>
      <c r="E2263" s="18">
        <v>0</v>
      </c>
    </row>
    <row r="2264" spans="1:5" x14ac:dyDescent="0.25">
      <c r="A2264" s="18">
        <v>1951</v>
      </c>
      <c r="B2264" s="18" t="s">
        <v>76</v>
      </c>
      <c r="C2264" s="18">
        <v>0</v>
      </c>
      <c r="D2264" s="18">
        <v>0</v>
      </c>
      <c r="E2264" s="18">
        <v>0</v>
      </c>
    </row>
    <row r="2265" spans="1:5" x14ac:dyDescent="0.25">
      <c r="A2265" s="18">
        <v>1952</v>
      </c>
      <c r="B2265" s="18" t="s">
        <v>76</v>
      </c>
      <c r="C2265" s="18">
        <v>0</v>
      </c>
      <c r="D2265" s="18">
        <v>0</v>
      </c>
      <c r="E2265" s="18">
        <v>0</v>
      </c>
    </row>
    <row r="2266" spans="1:5" x14ac:dyDescent="0.25">
      <c r="A2266" s="18">
        <v>1953</v>
      </c>
      <c r="B2266" s="18" t="s">
        <v>76</v>
      </c>
      <c r="C2266" s="18">
        <v>0</v>
      </c>
      <c r="D2266" s="18">
        <v>0</v>
      </c>
      <c r="E2266" s="18">
        <v>0</v>
      </c>
    </row>
    <row r="2267" spans="1:5" x14ac:dyDescent="0.25">
      <c r="A2267" s="18">
        <v>1954</v>
      </c>
      <c r="B2267" s="18" t="s">
        <v>76</v>
      </c>
      <c r="C2267" s="18">
        <v>0</v>
      </c>
      <c r="D2267" s="18">
        <v>0</v>
      </c>
      <c r="E2267" s="18">
        <v>0</v>
      </c>
    </row>
    <row r="2268" spans="1:5" x14ac:dyDescent="0.25">
      <c r="A2268" s="18">
        <v>1955</v>
      </c>
      <c r="B2268" s="18" t="s">
        <v>76</v>
      </c>
      <c r="C2268" s="18">
        <v>0</v>
      </c>
      <c r="D2268" s="18">
        <v>0</v>
      </c>
      <c r="E2268" s="18">
        <v>0</v>
      </c>
    </row>
    <row r="2269" spans="1:5" x14ac:dyDescent="0.25">
      <c r="A2269" s="18">
        <v>1956</v>
      </c>
      <c r="B2269" s="18" t="s">
        <v>76</v>
      </c>
      <c r="C2269" s="18">
        <v>0</v>
      </c>
      <c r="D2269" s="18">
        <v>0</v>
      </c>
      <c r="E2269" s="18">
        <v>0</v>
      </c>
    </row>
    <row r="2270" spans="1:5" x14ac:dyDescent="0.25">
      <c r="A2270" s="18">
        <v>1957</v>
      </c>
      <c r="B2270" s="18" t="s">
        <v>76</v>
      </c>
      <c r="C2270" s="18">
        <v>0</v>
      </c>
      <c r="D2270" s="18">
        <v>0</v>
      </c>
      <c r="E2270" s="18">
        <v>0</v>
      </c>
    </row>
    <row r="2271" spans="1:5" x14ac:dyDescent="0.25">
      <c r="A2271" s="18">
        <v>1958</v>
      </c>
      <c r="B2271" s="18" t="s">
        <v>76</v>
      </c>
      <c r="C2271" s="18">
        <v>0</v>
      </c>
      <c r="D2271" s="18">
        <v>0</v>
      </c>
      <c r="E2271" s="18">
        <v>0</v>
      </c>
    </row>
    <row r="2272" spans="1:5" x14ac:dyDescent="0.25">
      <c r="A2272" s="18">
        <v>1959</v>
      </c>
      <c r="B2272" s="18" t="s">
        <v>76</v>
      </c>
      <c r="C2272" s="18">
        <v>0</v>
      </c>
      <c r="D2272" s="18">
        <v>0</v>
      </c>
      <c r="E2272" s="18">
        <v>0</v>
      </c>
    </row>
    <row r="2273" spans="1:5" x14ac:dyDescent="0.25">
      <c r="A2273" s="18">
        <v>1960</v>
      </c>
      <c r="B2273" s="18" t="s">
        <v>76</v>
      </c>
      <c r="C2273" s="18">
        <v>0</v>
      </c>
      <c r="D2273" s="18">
        <v>0</v>
      </c>
      <c r="E2273" s="18">
        <v>0</v>
      </c>
    </row>
    <row r="2274" spans="1:5" x14ac:dyDescent="0.25">
      <c r="A2274" s="18">
        <v>1961</v>
      </c>
      <c r="B2274" s="18" t="s">
        <v>76</v>
      </c>
      <c r="C2274" s="18">
        <v>0</v>
      </c>
      <c r="D2274" s="18">
        <v>0</v>
      </c>
      <c r="E2274" s="18">
        <v>0</v>
      </c>
    </row>
    <row r="2275" spans="1:5" x14ac:dyDescent="0.25">
      <c r="A2275" s="18">
        <v>1962</v>
      </c>
      <c r="B2275" s="18" t="s">
        <v>76</v>
      </c>
      <c r="C2275" s="18">
        <v>0</v>
      </c>
      <c r="D2275" s="18">
        <v>0</v>
      </c>
      <c r="E2275" s="18">
        <v>0</v>
      </c>
    </row>
    <row r="2276" spans="1:5" x14ac:dyDescent="0.25">
      <c r="A2276" s="18">
        <v>1963</v>
      </c>
      <c r="B2276" s="18" t="s">
        <v>76</v>
      </c>
      <c r="C2276" s="18">
        <v>0</v>
      </c>
      <c r="D2276" s="18">
        <v>0</v>
      </c>
      <c r="E2276" s="18">
        <v>0</v>
      </c>
    </row>
    <row r="2277" spans="1:5" x14ac:dyDescent="0.25">
      <c r="A2277" s="18">
        <v>1964</v>
      </c>
      <c r="B2277" s="18" t="s">
        <v>76</v>
      </c>
      <c r="C2277" s="18">
        <v>0</v>
      </c>
      <c r="D2277" s="18">
        <v>0</v>
      </c>
      <c r="E2277" s="18">
        <v>0</v>
      </c>
    </row>
    <row r="2278" spans="1:5" x14ac:dyDescent="0.25">
      <c r="A2278" s="18">
        <v>1965</v>
      </c>
      <c r="B2278" s="18" t="s">
        <v>76</v>
      </c>
      <c r="C2278" s="18">
        <v>0</v>
      </c>
      <c r="D2278" s="18">
        <v>0</v>
      </c>
      <c r="E2278" s="18">
        <v>0</v>
      </c>
    </row>
    <row r="2279" spans="1:5" x14ac:dyDescent="0.25">
      <c r="A2279" s="18">
        <v>1966</v>
      </c>
      <c r="B2279" s="18" t="s">
        <v>76</v>
      </c>
      <c r="C2279" s="18">
        <v>0</v>
      </c>
      <c r="D2279" s="18">
        <v>0</v>
      </c>
      <c r="E2279" s="18">
        <v>0</v>
      </c>
    </row>
    <row r="2280" spans="1:5" x14ac:dyDescent="0.25">
      <c r="A2280" s="18">
        <v>1967</v>
      </c>
      <c r="B2280" s="18" t="s">
        <v>76</v>
      </c>
      <c r="C2280" s="18">
        <v>0</v>
      </c>
      <c r="D2280" s="18">
        <v>0</v>
      </c>
      <c r="E2280" s="18">
        <v>0</v>
      </c>
    </row>
    <row r="2281" spans="1:5" x14ac:dyDescent="0.25">
      <c r="A2281" s="18">
        <v>1968</v>
      </c>
      <c r="B2281" s="18" t="s">
        <v>76</v>
      </c>
      <c r="C2281" s="18">
        <v>0</v>
      </c>
      <c r="D2281" s="18">
        <v>0</v>
      </c>
      <c r="E2281" s="18">
        <v>0</v>
      </c>
    </row>
    <row r="2282" spans="1:5" x14ac:dyDescent="0.25">
      <c r="A2282" s="18">
        <v>1969</v>
      </c>
      <c r="B2282" s="18" t="s">
        <v>76</v>
      </c>
      <c r="C2282" s="18">
        <v>0</v>
      </c>
      <c r="D2282" s="18">
        <v>0</v>
      </c>
      <c r="E2282" s="18">
        <v>0</v>
      </c>
    </row>
    <row r="2283" spans="1:5" x14ac:dyDescent="0.25">
      <c r="A2283" s="18">
        <v>1970</v>
      </c>
      <c r="B2283" s="18" t="s">
        <v>76</v>
      </c>
      <c r="C2283" s="18">
        <v>0</v>
      </c>
      <c r="D2283" s="18">
        <v>0</v>
      </c>
      <c r="E2283" s="18">
        <v>0</v>
      </c>
    </row>
    <row r="2284" spans="1:5" x14ac:dyDescent="0.25">
      <c r="A2284" s="18">
        <v>1971</v>
      </c>
      <c r="B2284" s="18" t="s">
        <v>76</v>
      </c>
      <c r="C2284" s="18">
        <v>0</v>
      </c>
      <c r="D2284" s="18">
        <v>0</v>
      </c>
      <c r="E2284" s="18">
        <v>0</v>
      </c>
    </row>
    <row r="2285" spans="1:5" x14ac:dyDescent="0.25">
      <c r="A2285" s="18">
        <v>1972</v>
      </c>
      <c r="B2285" s="18" t="s">
        <v>76</v>
      </c>
      <c r="C2285" s="18">
        <v>0</v>
      </c>
      <c r="D2285" s="18">
        <v>0</v>
      </c>
      <c r="E2285" s="18">
        <v>0</v>
      </c>
    </row>
    <row r="2286" spans="1:5" x14ac:dyDescent="0.25">
      <c r="A2286" s="18">
        <v>1973</v>
      </c>
      <c r="B2286" s="18" t="s">
        <v>76</v>
      </c>
      <c r="C2286" s="18">
        <v>0</v>
      </c>
      <c r="D2286" s="18">
        <v>0</v>
      </c>
      <c r="E2286" s="18">
        <v>0</v>
      </c>
    </row>
    <row r="2287" spans="1:5" x14ac:dyDescent="0.25">
      <c r="A2287" s="18">
        <v>1974</v>
      </c>
      <c r="B2287" s="18" t="s">
        <v>76</v>
      </c>
      <c r="C2287" s="18">
        <v>0</v>
      </c>
      <c r="D2287" s="18">
        <v>0</v>
      </c>
      <c r="E2287" s="18">
        <v>0</v>
      </c>
    </row>
    <row r="2288" spans="1:5" x14ac:dyDescent="0.25">
      <c r="A2288" s="18">
        <v>1975</v>
      </c>
      <c r="B2288" s="18" t="s">
        <v>76</v>
      </c>
      <c r="C2288" s="18">
        <v>2071</v>
      </c>
      <c r="D2288" s="18">
        <v>2476</v>
      </c>
      <c r="E2288" s="18">
        <v>4548</v>
      </c>
    </row>
    <row r="2289" spans="1:5" x14ac:dyDescent="0.25">
      <c r="A2289" s="18">
        <v>1976</v>
      </c>
      <c r="B2289" s="18" t="s">
        <v>76</v>
      </c>
      <c r="C2289" s="18">
        <v>0</v>
      </c>
      <c r="D2289" s="18">
        <v>0</v>
      </c>
      <c r="E2289" s="18">
        <v>0</v>
      </c>
    </row>
    <row r="2290" spans="1:5" x14ac:dyDescent="0.25">
      <c r="A2290" s="18">
        <v>1977</v>
      </c>
      <c r="B2290" s="18" t="s">
        <v>76</v>
      </c>
      <c r="C2290" s="18">
        <v>0</v>
      </c>
      <c r="D2290" s="18">
        <v>0</v>
      </c>
      <c r="E2290" s="18">
        <v>0</v>
      </c>
    </row>
    <row r="2291" spans="1:5" x14ac:dyDescent="0.25">
      <c r="A2291" s="18">
        <v>1978</v>
      </c>
      <c r="B2291" s="18" t="s">
        <v>76</v>
      </c>
      <c r="C2291" s="18">
        <v>0</v>
      </c>
      <c r="D2291" s="18">
        <v>0</v>
      </c>
      <c r="E2291" s="18">
        <v>0</v>
      </c>
    </row>
    <row r="2292" spans="1:5" x14ac:dyDescent="0.25">
      <c r="A2292" s="18">
        <v>1979</v>
      </c>
      <c r="B2292" s="18" t="s">
        <v>76</v>
      </c>
      <c r="C2292" s="18">
        <v>0</v>
      </c>
      <c r="D2292" s="18">
        <v>0</v>
      </c>
      <c r="E2292" s="18">
        <v>0</v>
      </c>
    </row>
    <row r="2293" spans="1:5" x14ac:dyDescent="0.25">
      <c r="A2293" s="18">
        <v>1980</v>
      </c>
      <c r="B2293" s="18" t="s">
        <v>76</v>
      </c>
      <c r="C2293" s="18">
        <v>2154</v>
      </c>
      <c r="D2293" s="18">
        <v>2383</v>
      </c>
      <c r="E2293" s="18">
        <v>4537</v>
      </c>
    </row>
    <row r="2294" spans="1:5" x14ac:dyDescent="0.25">
      <c r="A2294" s="18">
        <v>1981</v>
      </c>
      <c r="B2294" s="18" t="s">
        <v>76</v>
      </c>
      <c r="C2294" s="18">
        <v>0</v>
      </c>
      <c r="D2294" s="18">
        <v>0</v>
      </c>
      <c r="E2294" s="18">
        <v>0</v>
      </c>
    </row>
    <row r="2295" spans="1:5" x14ac:dyDescent="0.25">
      <c r="A2295" s="18">
        <v>1982</v>
      </c>
      <c r="B2295" s="18" t="s">
        <v>76</v>
      </c>
      <c r="C2295" s="18">
        <v>0</v>
      </c>
      <c r="D2295" s="18">
        <v>0</v>
      </c>
      <c r="E2295" s="18">
        <v>0</v>
      </c>
    </row>
    <row r="2296" spans="1:5" x14ac:dyDescent="0.25">
      <c r="A2296" s="18">
        <v>1983</v>
      </c>
      <c r="B2296" s="18" t="s">
        <v>76</v>
      </c>
      <c r="C2296" s="18">
        <v>0</v>
      </c>
      <c r="D2296" s="18">
        <v>0</v>
      </c>
      <c r="E2296" s="18">
        <v>0</v>
      </c>
    </row>
    <row r="2297" spans="1:5" x14ac:dyDescent="0.25">
      <c r="A2297" s="18">
        <v>1984</v>
      </c>
      <c r="B2297" s="18" t="s">
        <v>76</v>
      </c>
      <c r="C2297" s="18">
        <v>0</v>
      </c>
      <c r="D2297" s="18">
        <v>0</v>
      </c>
      <c r="E2297" s="18">
        <v>0</v>
      </c>
    </row>
    <row r="2298" spans="1:5" x14ac:dyDescent="0.25">
      <c r="A2298" s="18">
        <v>1985</v>
      </c>
      <c r="B2298" s="18" t="s">
        <v>76</v>
      </c>
      <c r="C2298" s="18">
        <v>2899</v>
      </c>
      <c r="D2298" s="18">
        <v>3066</v>
      </c>
      <c r="E2298" s="18">
        <v>5965</v>
      </c>
    </row>
    <row r="2299" spans="1:5" x14ac:dyDescent="0.25">
      <c r="A2299" s="18">
        <v>1986</v>
      </c>
      <c r="B2299" s="18" t="s">
        <v>76</v>
      </c>
      <c r="C2299" s="18">
        <v>0</v>
      </c>
      <c r="D2299" s="18">
        <v>0</v>
      </c>
      <c r="E2299" s="18">
        <v>0</v>
      </c>
    </row>
    <row r="2300" spans="1:5" x14ac:dyDescent="0.25">
      <c r="A2300" s="18">
        <v>1987</v>
      </c>
      <c r="B2300" s="18" t="s">
        <v>76</v>
      </c>
      <c r="C2300" s="18">
        <v>0</v>
      </c>
      <c r="D2300" s="18">
        <v>0</v>
      </c>
      <c r="E2300" s="18">
        <v>0</v>
      </c>
    </row>
    <row r="2301" spans="1:5" x14ac:dyDescent="0.25">
      <c r="A2301" s="18">
        <v>1988</v>
      </c>
      <c r="B2301" s="18" t="s">
        <v>76</v>
      </c>
      <c r="C2301" s="18">
        <v>0</v>
      </c>
      <c r="D2301" s="18">
        <v>0</v>
      </c>
      <c r="E2301" s="18">
        <v>0</v>
      </c>
    </row>
    <row r="2302" spans="1:5" x14ac:dyDescent="0.25">
      <c r="A2302" s="18">
        <v>1989</v>
      </c>
      <c r="B2302" s="18" t="s">
        <v>76</v>
      </c>
      <c r="C2302" s="18">
        <v>0</v>
      </c>
      <c r="D2302" s="18">
        <v>0</v>
      </c>
      <c r="E2302" s="18">
        <v>0</v>
      </c>
    </row>
    <row r="2303" spans="1:5" x14ac:dyDescent="0.25">
      <c r="A2303" s="18">
        <v>1990</v>
      </c>
      <c r="B2303" s="18" t="s">
        <v>76</v>
      </c>
      <c r="C2303" s="18">
        <v>1566</v>
      </c>
      <c r="D2303" s="18">
        <v>1752</v>
      </c>
      <c r="E2303" s="18">
        <v>3318</v>
      </c>
    </row>
    <row r="2304" spans="1:5" x14ac:dyDescent="0.25">
      <c r="A2304" s="18">
        <v>1991</v>
      </c>
      <c r="B2304" s="18" t="s">
        <v>76</v>
      </c>
      <c r="C2304" s="18">
        <v>0</v>
      </c>
      <c r="D2304" s="18">
        <v>0</v>
      </c>
      <c r="E2304" s="18">
        <v>0</v>
      </c>
    </row>
    <row r="2305" spans="1:5" x14ac:dyDescent="0.25">
      <c r="A2305" s="18">
        <v>1992</v>
      </c>
      <c r="B2305" s="18" t="s">
        <v>76</v>
      </c>
      <c r="C2305" s="18">
        <v>0</v>
      </c>
      <c r="D2305" s="18">
        <v>0</v>
      </c>
      <c r="E2305" s="18">
        <v>0</v>
      </c>
    </row>
    <row r="2306" spans="1:5" x14ac:dyDescent="0.25">
      <c r="A2306" s="18">
        <v>1993</v>
      </c>
      <c r="B2306" s="18" t="s">
        <v>76</v>
      </c>
      <c r="C2306" s="18">
        <v>0</v>
      </c>
      <c r="D2306" s="18">
        <v>0</v>
      </c>
      <c r="E2306" s="18">
        <v>0</v>
      </c>
    </row>
    <row r="2307" spans="1:5" x14ac:dyDescent="0.25">
      <c r="A2307" s="18">
        <v>1994</v>
      </c>
      <c r="B2307" s="18" t="s">
        <v>76</v>
      </c>
      <c r="C2307" s="18">
        <v>0</v>
      </c>
      <c r="D2307" s="18">
        <v>0</v>
      </c>
      <c r="E2307" s="18">
        <v>0</v>
      </c>
    </row>
    <row r="2308" spans="1:5" x14ac:dyDescent="0.25">
      <c r="A2308" s="18">
        <v>1995</v>
      </c>
      <c r="B2308" s="18" t="s">
        <v>76</v>
      </c>
      <c r="C2308" s="18">
        <v>0</v>
      </c>
      <c r="D2308" s="18">
        <v>0</v>
      </c>
      <c r="E2308" s="18">
        <v>0</v>
      </c>
    </row>
    <row r="2309" spans="1:5" x14ac:dyDescent="0.25">
      <c r="A2309" s="18">
        <v>1996</v>
      </c>
      <c r="B2309" s="18" t="s">
        <v>76</v>
      </c>
      <c r="C2309" s="18">
        <v>0</v>
      </c>
      <c r="D2309" s="18">
        <v>0</v>
      </c>
      <c r="E2309" s="18">
        <v>0</v>
      </c>
    </row>
    <row r="2310" spans="1:5" x14ac:dyDescent="0.25">
      <c r="A2310" s="18">
        <v>1997</v>
      </c>
      <c r="B2310" s="18" t="s">
        <v>76</v>
      </c>
      <c r="C2310" s="18">
        <v>0</v>
      </c>
      <c r="D2310" s="18">
        <v>0</v>
      </c>
      <c r="E2310" s="18">
        <v>0</v>
      </c>
    </row>
    <row r="2311" spans="1:5" x14ac:dyDescent="0.25">
      <c r="A2311" s="18">
        <v>1998</v>
      </c>
      <c r="B2311" s="18" t="s">
        <v>76</v>
      </c>
      <c r="C2311" s="18">
        <v>0</v>
      </c>
      <c r="D2311" s="18">
        <v>0</v>
      </c>
      <c r="E2311" s="18">
        <v>0</v>
      </c>
    </row>
    <row r="2312" spans="1:5" x14ac:dyDescent="0.25">
      <c r="A2312" s="18">
        <v>1999</v>
      </c>
      <c r="B2312" s="18" t="s">
        <v>76</v>
      </c>
      <c r="C2312" s="18">
        <v>0</v>
      </c>
      <c r="D2312" s="18">
        <v>0</v>
      </c>
      <c r="E2312" s="18">
        <v>0</v>
      </c>
    </row>
    <row r="2313" spans="1:5" x14ac:dyDescent="0.25">
      <c r="A2313" s="18">
        <v>2000</v>
      </c>
      <c r="B2313" s="18" t="s">
        <v>76</v>
      </c>
      <c r="C2313" s="18">
        <v>2074</v>
      </c>
      <c r="D2313" s="18">
        <v>2251</v>
      </c>
      <c r="E2313" s="18">
        <v>4326</v>
      </c>
    </row>
    <row r="2314" spans="1:5" x14ac:dyDescent="0.25">
      <c r="A2314" s="18">
        <v>2001</v>
      </c>
      <c r="B2314" s="18" t="s">
        <v>76</v>
      </c>
      <c r="C2314" s="18">
        <v>0</v>
      </c>
      <c r="D2314" s="18">
        <v>0</v>
      </c>
      <c r="E2314" s="18">
        <v>0</v>
      </c>
    </row>
    <row r="2315" spans="1:5" x14ac:dyDescent="0.25">
      <c r="A2315" s="18">
        <v>2002</v>
      </c>
      <c r="B2315" s="18" t="s">
        <v>76</v>
      </c>
      <c r="C2315" s="18">
        <v>0</v>
      </c>
      <c r="D2315" s="18">
        <v>0</v>
      </c>
      <c r="E2315" s="18">
        <v>0</v>
      </c>
    </row>
    <row r="2316" spans="1:5" x14ac:dyDescent="0.25">
      <c r="A2316" s="18">
        <v>2003</v>
      </c>
      <c r="B2316" s="18" t="s">
        <v>76</v>
      </c>
      <c r="C2316" s="18">
        <v>0</v>
      </c>
      <c r="D2316" s="18">
        <v>0</v>
      </c>
      <c r="E2316" s="18">
        <v>0</v>
      </c>
    </row>
    <row r="2317" spans="1:5" x14ac:dyDescent="0.25">
      <c r="A2317" s="18">
        <v>2004</v>
      </c>
      <c r="B2317" s="18" t="s">
        <v>76</v>
      </c>
      <c r="C2317" s="18">
        <v>0</v>
      </c>
      <c r="D2317" s="18">
        <v>0</v>
      </c>
      <c r="E2317" s="18">
        <v>0</v>
      </c>
    </row>
    <row r="2318" spans="1:5" x14ac:dyDescent="0.25">
      <c r="A2318" s="18">
        <v>2005</v>
      </c>
      <c r="B2318" s="18" t="s">
        <v>76</v>
      </c>
      <c r="C2318" s="18">
        <v>0</v>
      </c>
      <c r="D2318" s="18">
        <v>0</v>
      </c>
      <c r="E2318" s="18">
        <v>0</v>
      </c>
    </row>
    <row r="2319" spans="1:5" x14ac:dyDescent="0.25">
      <c r="A2319" s="18">
        <v>2006</v>
      </c>
      <c r="B2319" s="18" t="s">
        <v>76</v>
      </c>
      <c r="C2319" s="18">
        <v>0</v>
      </c>
      <c r="D2319" s="18">
        <v>0</v>
      </c>
      <c r="E2319" s="18">
        <v>0</v>
      </c>
    </row>
    <row r="2320" spans="1:5" x14ac:dyDescent="0.25">
      <c r="A2320" s="18">
        <v>2007</v>
      </c>
      <c r="B2320" s="18" t="s">
        <v>76</v>
      </c>
      <c r="C2320" s="18">
        <v>0</v>
      </c>
      <c r="D2320" s="18">
        <v>0</v>
      </c>
      <c r="E2320" s="18">
        <v>0</v>
      </c>
    </row>
    <row r="2321" spans="1:5" x14ac:dyDescent="0.25">
      <c r="A2321" s="18">
        <v>2008</v>
      </c>
      <c r="B2321" s="18" t="s">
        <v>76</v>
      </c>
      <c r="C2321" s="18">
        <v>0</v>
      </c>
      <c r="D2321" s="18">
        <v>0</v>
      </c>
      <c r="E2321" s="18">
        <v>0</v>
      </c>
    </row>
    <row r="2322" spans="1:5" x14ac:dyDescent="0.25">
      <c r="A2322" s="18">
        <v>1950</v>
      </c>
      <c r="B2322" s="18" t="s">
        <v>77</v>
      </c>
      <c r="C2322" s="18">
        <v>0</v>
      </c>
      <c r="D2322" s="18">
        <v>0</v>
      </c>
      <c r="E2322" s="18">
        <v>0</v>
      </c>
    </row>
    <row r="2323" spans="1:5" x14ac:dyDescent="0.25">
      <c r="A2323" s="18">
        <v>1951</v>
      </c>
      <c r="B2323" s="18" t="s">
        <v>77</v>
      </c>
      <c r="C2323" s="18">
        <v>0</v>
      </c>
      <c r="D2323" s="18">
        <v>0</v>
      </c>
      <c r="E2323" s="18">
        <v>0</v>
      </c>
    </row>
    <row r="2324" spans="1:5" x14ac:dyDescent="0.25">
      <c r="A2324" s="18">
        <v>1952</v>
      </c>
      <c r="B2324" s="18" t="s">
        <v>77</v>
      </c>
      <c r="C2324" s="18">
        <v>0</v>
      </c>
      <c r="D2324" s="18">
        <v>0</v>
      </c>
      <c r="E2324" s="18">
        <v>0</v>
      </c>
    </row>
    <row r="2325" spans="1:5" x14ac:dyDescent="0.25">
      <c r="A2325" s="18">
        <v>1953</v>
      </c>
      <c r="B2325" s="18" t="s">
        <v>77</v>
      </c>
      <c r="C2325" s="18">
        <v>0</v>
      </c>
      <c r="D2325" s="18">
        <v>0</v>
      </c>
      <c r="E2325" s="18">
        <v>0</v>
      </c>
    </row>
    <row r="2326" spans="1:5" x14ac:dyDescent="0.25">
      <c r="A2326" s="18">
        <v>1954</v>
      </c>
      <c r="B2326" s="18" t="s">
        <v>77</v>
      </c>
      <c r="C2326" s="18">
        <v>0</v>
      </c>
      <c r="D2326" s="18">
        <v>0</v>
      </c>
      <c r="E2326" s="18">
        <v>0</v>
      </c>
    </row>
    <row r="2327" spans="1:5" x14ac:dyDescent="0.25">
      <c r="A2327" s="18">
        <v>1955</v>
      </c>
      <c r="B2327" s="18" t="s">
        <v>77</v>
      </c>
      <c r="C2327" s="18">
        <v>0</v>
      </c>
      <c r="D2327" s="18">
        <v>0</v>
      </c>
      <c r="E2327" s="18">
        <v>0</v>
      </c>
    </row>
    <row r="2328" spans="1:5" x14ac:dyDescent="0.25">
      <c r="A2328" s="18">
        <v>1956</v>
      </c>
      <c r="B2328" s="18" t="s">
        <v>77</v>
      </c>
      <c r="C2328" s="18">
        <v>0</v>
      </c>
      <c r="D2328" s="18">
        <v>0</v>
      </c>
      <c r="E2328" s="18">
        <v>0</v>
      </c>
    </row>
    <row r="2329" spans="1:5" x14ac:dyDescent="0.25">
      <c r="A2329" s="18">
        <v>1957</v>
      </c>
      <c r="B2329" s="18" t="s">
        <v>77</v>
      </c>
      <c r="C2329" s="18">
        <v>0</v>
      </c>
      <c r="D2329" s="18">
        <v>0</v>
      </c>
      <c r="E2329" s="18">
        <v>0</v>
      </c>
    </row>
    <row r="2330" spans="1:5" x14ac:dyDescent="0.25">
      <c r="A2330" s="18">
        <v>1958</v>
      </c>
      <c r="B2330" s="18" t="s">
        <v>77</v>
      </c>
      <c r="C2330" s="18">
        <v>0</v>
      </c>
      <c r="D2330" s="18">
        <v>0</v>
      </c>
      <c r="E2330" s="18">
        <v>0</v>
      </c>
    </row>
    <row r="2331" spans="1:5" x14ac:dyDescent="0.25">
      <c r="A2331" s="18">
        <v>1959</v>
      </c>
      <c r="B2331" s="18" t="s">
        <v>77</v>
      </c>
      <c r="C2331" s="18">
        <v>0</v>
      </c>
      <c r="D2331" s="18">
        <v>0</v>
      </c>
      <c r="E2331" s="18">
        <v>0</v>
      </c>
    </row>
    <row r="2332" spans="1:5" x14ac:dyDescent="0.25">
      <c r="A2332" s="18">
        <v>1960</v>
      </c>
      <c r="B2332" s="18" t="s">
        <v>77</v>
      </c>
      <c r="C2332" s="18">
        <v>0</v>
      </c>
      <c r="D2332" s="18">
        <v>0</v>
      </c>
      <c r="E2332" s="18">
        <v>0</v>
      </c>
    </row>
    <row r="2333" spans="1:5" x14ac:dyDescent="0.25">
      <c r="A2333" s="18">
        <v>1961</v>
      </c>
      <c r="B2333" s="18" t="s">
        <v>77</v>
      </c>
      <c r="C2333" s="18">
        <v>0</v>
      </c>
      <c r="D2333" s="18">
        <v>0</v>
      </c>
      <c r="E2333" s="18">
        <v>0</v>
      </c>
    </row>
    <row r="2334" spans="1:5" x14ac:dyDescent="0.25">
      <c r="A2334" s="18">
        <v>1962</v>
      </c>
      <c r="B2334" s="18" t="s">
        <v>77</v>
      </c>
      <c r="C2334" s="18">
        <v>0</v>
      </c>
      <c r="D2334" s="18">
        <v>0</v>
      </c>
      <c r="E2334" s="18">
        <v>0</v>
      </c>
    </row>
    <row r="2335" spans="1:5" x14ac:dyDescent="0.25">
      <c r="A2335" s="18">
        <v>1963</v>
      </c>
      <c r="B2335" s="18" t="s">
        <v>77</v>
      </c>
      <c r="C2335" s="18">
        <v>0</v>
      </c>
      <c r="D2335" s="18">
        <v>0</v>
      </c>
      <c r="E2335" s="18">
        <v>0</v>
      </c>
    </row>
    <row r="2336" spans="1:5" x14ac:dyDescent="0.25">
      <c r="A2336" s="18">
        <v>1964</v>
      </c>
      <c r="B2336" s="18" t="s">
        <v>77</v>
      </c>
      <c r="C2336" s="18">
        <v>0</v>
      </c>
      <c r="D2336" s="18">
        <v>0</v>
      </c>
      <c r="E2336" s="18">
        <v>0</v>
      </c>
    </row>
    <row r="2337" spans="1:5" x14ac:dyDescent="0.25">
      <c r="A2337" s="18">
        <v>1965</v>
      </c>
      <c r="B2337" s="18" t="s">
        <v>77</v>
      </c>
      <c r="C2337" s="18">
        <v>0</v>
      </c>
      <c r="D2337" s="18">
        <v>0</v>
      </c>
      <c r="E2337" s="18">
        <v>0</v>
      </c>
    </row>
    <row r="2338" spans="1:5" x14ac:dyDescent="0.25">
      <c r="A2338" s="18">
        <v>1966</v>
      </c>
      <c r="B2338" s="18" t="s">
        <v>77</v>
      </c>
      <c r="C2338" s="18">
        <v>0</v>
      </c>
      <c r="D2338" s="18">
        <v>0</v>
      </c>
      <c r="E2338" s="18">
        <v>0</v>
      </c>
    </row>
    <row r="2339" spans="1:5" x14ac:dyDescent="0.25">
      <c r="A2339" s="18">
        <v>1967</v>
      </c>
      <c r="B2339" s="18" t="s">
        <v>77</v>
      </c>
      <c r="C2339" s="18">
        <v>0</v>
      </c>
      <c r="D2339" s="18">
        <v>0</v>
      </c>
      <c r="E2339" s="18">
        <v>0</v>
      </c>
    </row>
    <row r="2340" spans="1:5" x14ac:dyDescent="0.25">
      <c r="A2340" s="18">
        <v>1968</v>
      </c>
      <c r="B2340" s="18" t="s">
        <v>77</v>
      </c>
      <c r="C2340" s="18">
        <v>0</v>
      </c>
      <c r="D2340" s="18">
        <v>0</v>
      </c>
      <c r="E2340" s="18">
        <v>0</v>
      </c>
    </row>
    <row r="2341" spans="1:5" x14ac:dyDescent="0.25">
      <c r="A2341" s="18">
        <v>1969</v>
      </c>
      <c r="B2341" s="18" t="s">
        <v>77</v>
      </c>
      <c r="C2341" s="18">
        <v>0</v>
      </c>
      <c r="D2341" s="18">
        <v>0</v>
      </c>
      <c r="E2341" s="18">
        <v>0</v>
      </c>
    </row>
    <row r="2342" spans="1:5" x14ac:dyDescent="0.25">
      <c r="A2342" s="18">
        <v>1970</v>
      </c>
      <c r="B2342" s="18" t="s">
        <v>77</v>
      </c>
      <c r="C2342" s="18">
        <v>0</v>
      </c>
      <c r="D2342" s="18">
        <v>0</v>
      </c>
      <c r="E2342" s="18">
        <v>0</v>
      </c>
    </row>
    <row r="2343" spans="1:5" x14ac:dyDescent="0.25">
      <c r="A2343" s="18">
        <v>1971</v>
      </c>
      <c r="B2343" s="18" t="s">
        <v>77</v>
      </c>
      <c r="C2343" s="18">
        <v>0</v>
      </c>
      <c r="D2343" s="18">
        <v>0</v>
      </c>
      <c r="E2343" s="18">
        <v>0</v>
      </c>
    </row>
    <row r="2344" spans="1:5" x14ac:dyDescent="0.25">
      <c r="A2344" s="18">
        <v>1972</v>
      </c>
      <c r="B2344" s="18" t="s">
        <v>77</v>
      </c>
      <c r="C2344" s="18">
        <v>0</v>
      </c>
      <c r="D2344" s="18">
        <v>0</v>
      </c>
      <c r="E2344" s="18">
        <v>0</v>
      </c>
    </row>
    <row r="2345" spans="1:5" x14ac:dyDescent="0.25">
      <c r="A2345" s="18">
        <v>1973</v>
      </c>
      <c r="B2345" s="18" t="s">
        <v>77</v>
      </c>
      <c r="C2345" s="18">
        <v>0</v>
      </c>
      <c r="D2345" s="18">
        <v>0</v>
      </c>
      <c r="E2345" s="18">
        <v>0</v>
      </c>
    </row>
    <row r="2346" spans="1:5" x14ac:dyDescent="0.25">
      <c r="A2346" s="18">
        <v>1974</v>
      </c>
      <c r="B2346" s="18" t="s">
        <v>77</v>
      </c>
      <c r="C2346" s="18">
        <v>0</v>
      </c>
      <c r="D2346" s="18">
        <v>0</v>
      </c>
      <c r="E2346" s="18">
        <v>0</v>
      </c>
    </row>
    <row r="2347" spans="1:5" x14ac:dyDescent="0.25">
      <c r="A2347" s="18">
        <v>1975</v>
      </c>
      <c r="B2347" s="18" t="s">
        <v>77</v>
      </c>
      <c r="C2347" s="18">
        <v>588</v>
      </c>
      <c r="D2347" s="18">
        <v>578</v>
      </c>
      <c r="E2347" s="18">
        <v>1166</v>
      </c>
    </row>
    <row r="2348" spans="1:5" x14ac:dyDescent="0.25">
      <c r="A2348" s="18">
        <v>1976</v>
      </c>
      <c r="B2348" s="18" t="s">
        <v>77</v>
      </c>
      <c r="C2348" s="18">
        <v>0</v>
      </c>
      <c r="D2348" s="18">
        <v>0</v>
      </c>
      <c r="E2348" s="18">
        <v>0</v>
      </c>
    </row>
    <row r="2349" spans="1:5" x14ac:dyDescent="0.25">
      <c r="A2349" s="18">
        <v>1977</v>
      </c>
      <c r="B2349" s="18" t="s">
        <v>77</v>
      </c>
      <c r="C2349" s="18">
        <v>0</v>
      </c>
      <c r="D2349" s="18">
        <v>0</v>
      </c>
      <c r="E2349" s="18">
        <v>0</v>
      </c>
    </row>
    <row r="2350" spans="1:5" x14ac:dyDescent="0.25">
      <c r="A2350" s="18">
        <v>1978</v>
      </c>
      <c r="B2350" s="18" t="s">
        <v>77</v>
      </c>
      <c r="C2350" s="18">
        <v>0</v>
      </c>
      <c r="D2350" s="18">
        <v>0</v>
      </c>
      <c r="E2350" s="18">
        <v>0</v>
      </c>
    </row>
    <row r="2351" spans="1:5" x14ac:dyDescent="0.25">
      <c r="A2351" s="18">
        <v>1979</v>
      </c>
      <c r="B2351" s="18" t="s">
        <v>77</v>
      </c>
      <c r="C2351" s="18">
        <v>0</v>
      </c>
      <c r="D2351" s="18">
        <v>0</v>
      </c>
      <c r="E2351" s="18">
        <v>0</v>
      </c>
    </row>
    <row r="2352" spans="1:5" x14ac:dyDescent="0.25">
      <c r="A2352" s="18">
        <v>1980</v>
      </c>
      <c r="B2352" s="18" t="s">
        <v>77</v>
      </c>
      <c r="C2352" s="18">
        <v>595</v>
      </c>
      <c r="D2352" s="18">
        <v>656</v>
      </c>
      <c r="E2352" s="18">
        <v>1251</v>
      </c>
    </row>
    <row r="2353" spans="1:5" x14ac:dyDescent="0.25">
      <c r="A2353" s="18">
        <v>1981</v>
      </c>
      <c r="B2353" s="18" t="s">
        <v>77</v>
      </c>
      <c r="C2353" s="18">
        <v>0</v>
      </c>
      <c r="D2353" s="18">
        <v>0</v>
      </c>
      <c r="E2353" s="18">
        <v>0</v>
      </c>
    </row>
    <row r="2354" spans="1:5" x14ac:dyDescent="0.25">
      <c r="A2354" s="18">
        <v>1982</v>
      </c>
      <c r="B2354" s="18" t="s">
        <v>77</v>
      </c>
      <c r="C2354" s="18">
        <v>0</v>
      </c>
      <c r="D2354" s="18">
        <v>0</v>
      </c>
      <c r="E2354" s="18">
        <v>0</v>
      </c>
    </row>
    <row r="2355" spans="1:5" x14ac:dyDescent="0.25">
      <c r="A2355" s="18">
        <v>1983</v>
      </c>
      <c r="B2355" s="18" t="s">
        <v>77</v>
      </c>
      <c r="C2355" s="18">
        <v>0</v>
      </c>
      <c r="D2355" s="18">
        <v>0</v>
      </c>
      <c r="E2355" s="18">
        <v>0</v>
      </c>
    </row>
    <row r="2356" spans="1:5" x14ac:dyDescent="0.25">
      <c r="A2356" s="18">
        <v>1984</v>
      </c>
      <c r="B2356" s="18" t="s">
        <v>77</v>
      </c>
      <c r="C2356" s="18">
        <v>0</v>
      </c>
      <c r="D2356" s="18">
        <v>0</v>
      </c>
      <c r="E2356" s="18">
        <v>0</v>
      </c>
    </row>
    <row r="2357" spans="1:5" x14ac:dyDescent="0.25">
      <c r="A2357" s="18">
        <v>1985</v>
      </c>
      <c r="B2357" s="18" t="s">
        <v>77</v>
      </c>
      <c r="C2357" s="18">
        <v>670</v>
      </c>
      <c r="D2357" s="18">
        <v>739</v>
      </c>
      <c r="E2357" s="18">
        <v>1409</v>
      </c>
    </row>
    <row r="2358" spans="1:5" x14ac:dyDescent="0.25">
      <c r="A2358" s="18">
        <v>1986</v>
      </c>
      <c r="B2358" s="18" t="s">
        <v>77</v>
      </c>
      <c r="C2358" s="18">
        <v>0</v>
      </c>
      <c r="D2358" s="18">
        <v>0</v>
      </c>
      <c r="E2358" s="18">
        <v>0</v>
      </c>
    </row>
    <row r="2359" spans="1:5" x14ac:dyDescent="0.25">
      <c r="A2359" s="18">
        <v>1987</v>
      </c>
      <c r="B2359" s="18" t="s">
        <v>77</v>
      </c>
      <c r="C2359" s="18">
        <v>0</v>
      </c>
      <c r="D2359" s="18">
        <v>0</v>
      </c>
      <c r="E2359" s="18">
        <v>0</v>
      </c>
    </row>
    <row r="2360" spans="1:5" x14ac:dyDescent="0.25">
      <c r="A2360" s="18">
        <v>1988</v>
      </c>
      <c r="B2360" s="18" t="s">
        <v>77</v>
      </c>
      <c r="C2360" s="18">
        <v>0</v>
      </c>
      <c r="D2360" s="18">
        <v>0</v>
      </c>
      <c r="E2360" s="18">
        <v>0</v>
      </c>
    </row>
    <row r="2361" spans="1:5" x14ac:dyDescent="0.25">
      <c r="A2361" s="18">
        <v>1989</v>
      </c>
      <c r="B2361" s="18" t="s">
        <v>77</v>
      </c>
      <c r="C2361" s="18">
        <v>0</v>
      </c>
      <c r="D2361" s="18">
        <v>0</v>
      </c>
      <c r="E2361" s="18">
        <v>0</v>
      </c>
    </row>
    <row r="2362" spans="1:5" x14ac:dyDescent="0.25">
      <c r="A2362" s="18">
        <v>1990</v>
      </c>
      <c r="B2362" s="18" t="s">
        <v>77</v>
      </c>
      <c r="C2362" s="18">
        <v>813</v>
      </c>
      <c r="D2362" s="18">
        <v>777</v>
      </c>
      <c r="E2362" s="18">
        <v>1590</v>
      </c>
    </row>
    <row r="2363" spans="1:5" x14ac:dyDescent="0.25">
      <c r="A2363" s="18">
        <v>1991</v>
      </c>
      <c r="B2363" s="18" t="s">
        <v>77</v>
      </c>
      <c r="C2363" s="18">
        <v>0</v>
      </c>
      <c r="D2363" s="18">
        <v>0</v>
      </c>
      <c r="E2363" s="18">
        <v>0</v>
      </c>
    </row>
    <row r="2364" spans="1:5" x14ac:dyDescent="0.25">
      <c r="A2364" s="18">
        <v>1992</v>
      </c>
      <c r="B2364" s="18" t="s">
        <v>77</v>
      </c>
      <c r="C2364" s="18">
        <v>0</v>
      </c>
      <c r="D2364" s="18">
        <v>0</v>
      </c>
      <c r="E2364" s="18">
        <v>0</v>
      </c>
    </row>
    <row r="2365" spans="1:5" x14ac:dyDescent="0.25">
      <c r="A2365" s="18">
        <v>1993</v>
      </c>
      <c r="B2365" s="18" t="s">
        <v>77</v>
      </c>
      <c r="C2365" s="18">
        <v>0</v>
      </c>
      <c r="D2365" s="18">
        <v>0</v>
      </c>
      <c r="E2365" s="18">
        <v>0</v>
      </c>
    </row>
    <row r="2366" spans="1:5" x14ac:dyDescent="0.25">
      <c r="A2366" s="18">
        <v>1994</v>
      </c>
      <c r="B2366" s="18" t="s">
        <v>77</v>
      </c>
      <c r="C2366" s="18">
        <v>0</v>
      </c>
      <c r="D2366" s="18">
        <v>0</v>
      </c>
      <c r="E2366" s="18">
        <v>0</v>
      </c>
    </row>
    <row r="2367" spans="1:5" x14ac:dyDescent="0.25">
      <c r="A2367" s="18">
        <v>1995</v>
      </c>
      <c r="B2367" s="18" t="s">
        <v>77</v>
      </c>
      <c r="C2367" s="18">
        <v>0</v>
      </c>
      <c r="D2367" s="18">
        <v>0</v>
      </c>
      <c r="E2367" s="18">
        <v>0</v>
      </c>
    </row>
    <row r="2368" spans="1:5" x14ac:dyDescent="0.25">
      <c r="A2368" s="18">
        <v>1996</v>
      </c>
      <c r="B2368" s="18" t="s">
        <v>77</v>
      </c>
      <c r="C2368" s="18">
        <v>0</v>
      </c>
      <c r="D2368" s="18">
        <v>0</v>
      </c>
      <c r="E2368" s="18">
        <v>0</v>
      </c>
    </row>
    <row r="2369" spans="1:5" x14ac:dyDescent="0.25">
      <c r="A2369" s="18">
        <v>1997</v>
      </c>
      <c r="B2369" s="18" t="s">
        <v>77</v>
      </c>
      <c r="C2369" s="18">
        <v>0</v>
      </c>
      <c r="D2369" s="18">
        <v>0</v>
      </c>
      <c r="E2369" s="18">
        <v>0</v>
      </c>
    </row>
    <row r="2370" spans="1:5" x14ac:dyDescent="0.25">
      <c r="A2370" s="18">
        <v>1998</v>
      </c>
      <c r="B2370" s="18" t="s">
        <v>77</v>
      </c>
      <c r="C2370" s="18">
        <v>0</v>
      </c>
      <c r="D2370" s="18">
        <v>0</v>
      </c>
      <c r="E2370" s="18">
        <v>0</v>
      </c>
    </row>
    <row r="2371" spans="1:5" x14ac:dyDescent="0.25">
      <c r="A2371" s="18">
        <v>1999</v>
      </c>
      <c r="B2371" s="18" t="s">
        <v>77</v>
      </c>
      <c r="C2371" s="18">
        <v>0</v>
      </c>
      <c r="D2371" s="18">
        <v>0</v>
      </c>
      <c r="E2371" s="18">
        <v>0</v>
      </c>
    </row>
    <row r="2372" spans="1:5" x14ac:dyDescent="0.25">
      <c r="A2372" s="18">
        <v>2000</v>
      </c>
      <c r="B2372" s="18" t="s">
        <v>77</v>
      </c>
      <c r="C2372" s="18">
        <v>745</v>
      </c>
      <c r="D2372" s="18">
        <v>731</v>
      </c>
      <c r="E2372" s="18">
        <v>1476</v>
      </c>
    </row>
    <row r="2373" spans="1:5" x14ac:dyDescent="0.25">
      <c r="A2373" s="18">
        <v>2001</v>
      </c>
      <c r="B2373" s="18" t="s">
        <v>77</v>
      </c>
      <c r="C2373" s="18">
        <v>0</v>
      </c>
      <c r="D2373" s="18">
        <v>0</v>
      </c>
      <c r="E2373" s="18">
        <v>0</v>
      </c>
    </row>
    <row r="2374" spans="1:5" x14ac:dyDescent="0.25">
      <c r="A2374" s="18">
        <v>2002</v>
      </c>
      <c r="B2374" s="18" t="s">
        <v>77</v>
      </c>
      <c r="C2374" s="18">
        <v>0</v>
      </c>
      <c r="D2374" s="18">
        <v>0</v>
      </c>
      <c r="E2374" s="18">
        <v>0</v>
      </c>
    </row>
    <row r="2375" spans="1:5" x14ac:dyDescent="0.25">
      <c r="A2375" s="18">
        <v>2003</v>
      </c>
      <c r="B2375" s="18" t="s">
        <v>77</v>
      </c>
      <c r="C2375" s="18">
        <v>0</v>
      </c>
      <c r="D2375" s="18">
        <v>0</v>
      </c>
      <c r="E2375" s="18">
        <v>0</v>
      </c>
    </row>
    <row r="2376" spans="1:5" x14ac:dyDescent="0.25">
      <c r="A2376" s="18">
        <v>2004</v>
      </c>
      <c r="B2376" s="18" t="s">
        <v>77</v>
      </c>
      <c r="C2376" s="18">
        <v>0</v>
      </c>
      <c r="D2376" s="18">
        <v>0</v>
      </c>
      <c r="E2376" s="18">
        <v>0</v>
      </c>
    </row>
    <row r="2377" spans="1:5" x14ac:dyDescent="0.25">
      <c r="A2377" s="18">
        <v>2005</v>
      </c>
      <c r="B2377" s="18" t="s">
        <v>77</v>
      </c>
      <c r="C2377" s="18">
        <v>0</v>
      </c>
      <c r="D2377" s="18">
        <v>0</v>
      </c>
      <c r="E2377" s="18">
        <v>0</v>
      </c>
    </row>
    <row r="2378" spans="1:5" x14ac:dyDescent="0.25">
      <c r="A2378" s="18">
        <v>2006</v>
      </c>
      <c r="B2378" s="18" t="s">
        <v>77</v>
      </c>
      <c r="C2378" s="18">
        <v>0</v>
      </c>
      <c r="D2378" s="18">
        <v>0</v>
      </c>
      <c r="E2378" s="18">
        <v>0</v>
      </c>
    </row>
    <row r="2379" spans="1:5" x14ac:dyDescent="0.25">
      <c r="A2379" s="18">
        <v>2007</v>
      </c>
      <c r="B2379" s="18" t="s">
        <v>77</v>
      </c>
      <c r="C2379" s="18">
        <v>0</v>
      </c>
      <c r="D2379" s="18">
        <v>0</v>
      </c>
      <c r="E2379" s="18">
        <v>0</v>
      </c>
    </row>
    <row r="2380" spans="1:5" x14ac:dyDescent="0.25">
      <c r="A2380" s="18">
        <v>2008</v>
      </c>
      <c r="B2380" s="18" t="s">
        <v>77</v>
      </c>
      <c r="C2380" s="18">
        <v>0</v>
      </c>
      <c r="D2380" s="18">
        <v>0</v>
      </c>
      <c r="E2380" s="18">
        <v>0</v>
      </c>
    </row>
    <row r="2381" spans="1:5" x14ac:dyDescent="0.25">
      <c r="A2381" s="18">
        <v>1950</v>
      </c>
      <c r="B2381" s="18" t="s">
        <v>88</v>
      </c>
      <c r="C2381" s="18">
        <v>0</v>
      </c>
      <c r="D2381" s="18">
        <v>0</v>
      </c>
      <c r="E2381" s="18">
        <v>0</v>
      </c>
    </row>
    <row r="2382" spans="1:5" x14ac:dyDescent="0.25">
      <c r="A2382" s="18">
        <v>1951</v>
      </c>
      <c r="B2382" s="18" t="s">
        <v>88</v>
      </c>
      <c r="C2382" s="18">
        <v>0</v>
      </c>
      <c r="D2382" s="18">
        <v>0</v>
      </c>
      <c r="E2382" s="18">
        <v>0</v>
      </c>
    </row>
    <row r="2383" spans="1:5" x14ac:dyDescent="0.25">
      <c r="A2383" s="18">
        <v>1952</v>
      </c>
      <c r="B2383" s="18" t="s">
        <v>88</v>
      </c>
      <c r="C2383" s="18">
        <v>0</v>
      </c>
      <c r="D2383" s="18">
        <v>0</v>
      </c>
      <c r="E2383" s="18">
        <v>0</v>
      </c>
    </row>
    <row r="2384" spans="1:5" x14ac:dyDescent="0.25">
      <c r="A2384" s="18">
        <v>1953</v>
      </c>
      <c r="B2384" s="18" t="s">
        <v>88</v>
      </c>
      <c r="C2384" s="18">
        <v>0</v>
      </c>
      <c r="D2384" s="18">
        <v>0</v>
      </c>
      <c r="E2384" s="18">
        <v>0</v>
      </c>
    </row>
    <row r="2385" spans="1:5" x14ac:dyDescent="0.25">
      <c r="A2385" s="18">
        <v>1954</v>
      </c>
      <c r="B2385" s="18" t="s">
        <v>88</v>
      </c>
      <c r="C2385" s="18">
        <v>0</v>
      </c>
      <c r="D2385" s="18">
        <v>0</v>
      </c>
      <c r="E2385" s="18">
        <v>0</v>
      </c>
    </row>
    <row r="2386" spans="1:5" x14ac:dyDescent="0.25">
      <c r="A2386" s="18">
        <v>1955</v>
      </c>
      <c r="B2386" s="18" t="s">
        <v>88</v>
      </c>
      <c r="C2386" s="18">
        <v>0</v>
      </c>
      <c r="D2386" s="18">
        <v>0</v>
      </c>
      <c r="E2386" s="18">
        <v>0</v>
      </c>
    </row>
    <row r="2387" spans="1:5" x14ac:dyDescent="0.25">
      <c r="A2387" s="18">
        <v>1956</v>
      </c>
      <c r="B2387" s="18" t="s">
        <v>88</v>
      </c>
      <c r="C2387" s="18">
        <v>0</v>
      </c>
      <c r="D2387" s="18">
        <v>0</v>
      </c>
      <c r="E2387" s="18">
        <v>0</v>
      </c>
    </row>
    <row r="2388" spans="1:5" x14ac:dyDescent="0.25">
      <c r="A2388" s="18">
        <v>1957</v>
      </c>
      <c r="B2388" s="18" t="s">
        <v>88</v>
      </c>
      <c r="C2388" s="18">
        <v>0</v>
      </c>
      <c r="D2388" s="18">
        <v>0</v>
      </c>
      <c r="E2388" s="18">
        <v>0</v>
      </c>
    </row>
    <row r="2389" spans="1:5" x14ac:dyDescent="0.25">
      <c r="A2389" s="18">
        <v>1958</v>
      </c>
      <c r="B2389" s="18" t="s">
        <v>88</v>
      </c>
      <c r="C2389" s="18">
        <v>0</v>
      </c>
      <c r="D2389" s="18">
        <v>0</v>
      </c>
      <c r="E2389" s="18">
        <v>0</v>
      </c>
    </row>
    <row r="2390" spans="1:5" x14ac:dyDescent="0.25">
      <c r="A2390" s="18">
        <v>1959</v>
      </c>
      <c r="B2390" s="18" t="s">
        <v>88</v>
      </c>
      <c r="C2390" s="18">
        <v>0</v>
      </c>
      <c r="D2390" s="18">
        <v>0</v>
      </c>
      <c r="E2390" s="18">
        <v>0</v>
      </c>
    </row>
    <row r="2391" spans="1:5" x14ac:dyDescent="0.25">
      <c r="A2391" s="18">
        <v>1960</v>
      </c>
      <c r="B2391" s="18" t="s">
        <v>88</v>
      </c>
      <c r="C2391" s="18">
        <v>0</v>
      </c>
      <c r="D2391" s="18">
        <v>0</v>
      </c>
      <c r="E2391" s="18">
        <v>0</v>
      </c>
    </row>
    <row r="2392" spans="1:5" x14ac:dyDescent="0.25">
      <c r="A2392" s="18">
        <v>1961</v>
      </c>
      <c r="B2392" s="18" t="s">
        <v>88</v>
      </c>
      <c r="C2392" s="18">
        <v>0</v>
      </c>
      <c r="D2392" s="18">
        <v>0</v>
      </c>
      <c r="E2392" s="18">
        <v>0</v>
      </c>
    </row>
    <row r="2393" spans="1:5" x14ac:dyDescent="0.25">
      <c r="A2393" s="18">
        <v>1962</v>
      </c>
      <c r="B2393" s="18" t="s">
        <v>88</v>
      </c>
      <c r="C2393" s="18">
        <v>0</v>
      </c>
      <c r="D2393" s="18">
        <v>0</v>
      </c>
      <c r="E2393" s="18">
        <v>0</v>
      </c>
    </row>
    <row r="2394" spans="1:5" x14ac:dyDescent="0.25">
      <c r="A2394" s="18">
        <v>1963</v>
      </c>
      <c r="B2394" s="18" t="s">
        <v>88</v>
      </c>
      <c r="C2394" s="18">
        <v>0</v>
      </c>
      <c r="D2394" s="18">
        <v>0</v>
      </c>
      <c r="E2394" s="18">
        <v>0</v>
      </c>
    </row>
    <row r="2395" spans="1:5" x14ac:dyDescent="0.25">
      <c r="A2395" s="18">
        <v>1964</v>
      </c>
      <c r="B2395" s="18" t="s">
        <v>88</v>
      </c>
      <c r="C2395" s="18">
        <v>0</v>
      </c>
      <c r="D2395" s="18">
        <v>0</v>
      </c>
      <c r="E2395" s="18">
        <v>0</v>
      </c>
    </row>
    <row r="2396" spans="1:5" x14ac:dyDescent="0.25">
      <c r="A2396" s="18">
        <v>1965</v>
      </c>
      <c r="B2396" s="18" t="s">
        <v>88</v>
      </c>
      <c r="C2396" s="18">
        <v>0</v>
      </c>
      <c r="D2396" s="18">
        <v>0</v>
      </c>
      <c r="E2396" s="18">
        <v>0</v>
      </c>
    </row>
    <row r="2397" spans="1:5" x14ac:dyDescent="0.25">
      <c r="A2397" s="18">
        <v>1966</v>
      </c>
      <c r="B2397" s="18" t="s">
        <v>88</v>
      </c>
      <c r="C2397" s="18">
        <v>0</v>
      </c>
      <c r="D2397" s="18">
        <v>0</v>
      </c>
      <c r="E2397" s="18">
        <v>0</v>
      </c>
    </row>
    <row r="2398" spans="1:5" x14ac:dyDescent="0.25">
      <c r="A2398" s="18">
        <v>1967</v>
      </c>
      <c r="B2398" s="18" t="s">
        <v>88</v>
      </c>
      <c r="C2398" s="18">
        <v>0</v>
      </c>
      <c r="D2398" s="18">
        <v>0</v>
      </c>
      <c r="E2398" s="18">
        <v>0</v>
      </c>
    </row>
    <row r="2399" spans="1:5" x14ac:dyDescent="0.25">
      <c r="A2399" s="18">
        <v>1968</v>
      </c>
      <c r="B2399" s="18" t="s">
        <v>88</v>
      </c>
      <c r="C2399" s="18">
        <v>0</v>
      </c>
      <c r="D2399" s="18">
        <v>0</v>
      </c>
      <c r="E2399" s="18">
        <v>0</v>
      </c>
    </row>
    <row r="2400" spans="1:5" x14ac:dyDescent="0.25">
      <c r="A2400" s="18">
        <v>1969</v>
      </c>
      <c r="B2400" s="18" t="s">
        <v>88</v>
      </c>
      <c r="C2400" s="18">
        <v>0</v>
      </c>
      <c r="D2400" s="18">
        <v>0</v>
      </c>
      <c r="E2400" s="18">
        <v>0</v>
      </c>
    </row>
    <row r="2401" spans="1:5" x14ac:dyDescent="0.25">
      <c r="A2401" s="18">
        <v>1970</v>
      </c>
      <c r="B2401" s="18" t="s">
        <v>88</v>
      </c>
      <c r="C2401" s="18">
        <v>2919</v>
      </c>
      <c r="D2401" s="18">
        <v>3043</v>
      </c>
      <c r="E2401" s="18">
        <v>5962</v>
      </c>
    </row>
    <row r="2402" spans="1:5" x14ac:dyDescent="0.25">
      <c r="A2402" s="18">
        <v>1971</v>
      </c>
      <c r="B2402" s="18" t="s">
        <v>88</v>
      </c>
      <c r="C2402" s="18">
        <v>0</v>
      </c>
      <c r="D2402" s="18">
        <v>0</v>
      </c>
      <c r="E2402" s="18">
        <v>0</v>
      </c>
    </row>
    <row r="2403" spans="1:5" x14ac:dyDescent="0.25">
      <c r="A2403" s="18">
        <v>1972</v>
      </c>
      <c r="B2403" s="18" t="s">
        <v>88</v>
      </c>
      <c r="C2403" s="18">
        <v>0</v>
      </c>
      <c r="D2403" s="18">
        <v>0</v>
      </c>
      <c r="E2403" s="18">
        <v>0</v>
      </c>
    </row>
    <row r="2404" spans="1:5" x14ac:dyDescent="0.25">
      <c r="A2404" s="18">
        <v>1973</v>
      </c>
      <c r="B2404" s="18" t="s">
        <v>88</v>
      </c>
      <c r="C2404" s="18">
        <v>0</v>
      </c>
      <c r="D2404" s="18">
        <v>0</v>
      </c>
      <c r="E2404" s="18">
        <v>0</v>
      </c>
    </row>
    <row r="2405" spans="1:5" x14ac:dyDescent="0.25">
      <c r="A2405" s="18">
        <v>1974</v>
      </c>
      <c r="B2405" s="18" t="s">
        <v>88</v>
      </c>
      <c r="C2405" s="18">
        <v>0</v>
      </c>
      <c r="D2405" s="18">
        <v>0</v>
      </c>
      <c r="E2405" s="18">
        <v>0</v>
      </c>
    </row>
    <row r="2406" spans="1:5" x14ac:dyDescent="0.25">
      <c r="A2406" s="18">
        <v>1975</v>
      </c>
      <c r="B2406" s="18" t="s">
        <v>88</v>
      </c>
      <c r="C2406" s="18">
        <v>2837</v>
      </c>
      <c r="D2406" s="18">
        <v>3501</v>
      </c>
      <c r="E2406" s="18">
        <v>6338</v>
      </c>
    </row>
    <row r="2407" spans="1:5" x14ac:dyDescent="0.25">
      <c r="A2407" s="18">
        <v>1976</v>
      </c>
      <c r="B2407" s="18" t="s">
        <v>88</v>
      </c>
      <c r="C2407" s="18">
        <v>0</v>
      </c>
      <c r="D2407" s="18">
        <v>0</v>
      </c>
      <c r="E2407" s="18">
        <v>0</v>
      </c>
    </row>
    <row r="2408" spans="1:5" x14ac:dyDescent="0.25">
      <c r="A2408" s="18">
        <v>1977</v>
      </c>
      <c r="B2408" s="18" t="s">
        <v>88</v>
      </c>
      <c r="C2408" s="18">
        <v>0</v>
      </c>
      <c r="D2408" s="18">
        <v>0</v>
      </c>
      <c r="E2408" s="18">
        <v>0</v>
      </c>
    </row>
    <row r="2409" spans="1:5" x14ac:dyDescent="0.25">
      <c r="A2409" s="18">
        <v>1978</v>
      </c>
      <c r="B2409" s="18" t="s">
        <v>88</v>
      </c>
      <c r="C2409" s="18">
        <v>0</v>
      </c>
      <c r="D2409" s="18">
        <v>0</v>
      </c>
      <c r="E2409" s="18">
        <v>0</v>
      </c>
    </row>
    <row r="2410" spans="1:5" x14ac:dyDescent="0.25">
      <c r="A2410" s="18">
        <v>1979</v>
      </c>
      <c r="B2410" s="18" t="s">
        <v>88</v>
      </c>
      <c r="C2410" s="18">
        <v>0</v>
      </c>
      <c r="D2410" s="18">
        <v>0</v>
      </c>
      <c r="E2410" s="18">
        <v>0</v>
      </c>
    </row>
    <row r="2411" spans="1:5" x14ac:dyDescent="0.25">
      <c r="A2411" s="18">
        <v>1980</v>
      </c>
      <c r="B2411" s="18" t="s">
        <v>88</v>
      </c>
      <c r="C2411" s="18">
        <v>3155</v>
      </c>
      <c r="D2411" s="18">
        <v>3301</v>
      </c>
      <c r="E2411" s="18">
        <v>6456</v>
      </c>
    </row>
    <row r="2412" spans="1:5" x14ac:dyDescent="0.25">
      <c r="A2412" s="18">
        <v>1981</v>
      </c>
      <c r="B2412" s="18" t="s">
        <v>88</v>
      </c>
      <c r="C2412" s="18">
        <v>0</v>
      </c>
      <c r="D2412" s="18">
        <v>0</v>
      </c>
      <c r="E2412" s="18">
        <v>0</v>
      </c>
    </row>
    <row r="2413" spans="1:5" x14ac:dyDescent="0.25">
      <c r="A2413" s="18">
        <v>1982</v>
      </c>
      <c r="B2413" s="18" t="s">
        <v>88</v>
      </c>
      <c r="C2413" s="18">
        <v>0</v>
      </c>
      <c r="D2413" s="18">
        <v>0</v>
      </c>
      <c r="E2413" s="18">
        <v>0</v>
      </c>
    </row>
    <row r="2414" spans="1:5" x14ac:dyDescent="0.25">
      <c r="A2414" s="18">
        <v>1983</v>
      </c>
      <c r="B2414" s="18" t="s">
        <v>88</v>
      </c>
      <c r="C2414" s="18">
        <v>0</v>
      </c>
      <c r="D2414" s="18">
        <v>0</v>
      </c>
      <c r="E2414" s="18">
        <v>0</v>
      </c>
    </row>
    <row r="2415" spans="1:5" x14ac:dyDescent="0.25">
      <c r="A2415" s="18">
        <v>1984</v>
      </c>
      <c r="B2415" s="18" t="s">
        <v>88</v>
      </c>
      <c r="C2415" s="18">
        <v>0</v>
      </c>
      <c r="D2415" s="18">
        <v>0</v>
      </c>
      <c r="E2415" s="18">
        <v>0</v>
      </c>
    </row>
    <row r="2416" spans="1:5" x14ac:dyDescent="0.25">
      <c r="A2416" s="18">
        <v>1985</v>
      </c>
      <c r="B2416" s="18" t="s">
        <v>88</v>
      </c>
      <c r="C2416" s="18">
        <v>3198</v>
      </c>
      <c r="D2416" s="18">
        <v>3232</v>
      </c>
      <c r="E2416" s="18">
        <v>6430</v>
      </c>
    </row>
    <row r="2417" spans="1:5" x14ac:dyDescent="0.25">
      <c r="A2417" s="18">
        <v>1986</v>
      </c>
      <c r="B2417" s="18" t="s">
        <v>88</v>
      </c>
      <c r="C2417" s="18">
        <v>0</v>
      </c>
      <c r="D2417" s="18">
        <v>0</v>
      </c>
      <c r="E2417" s="18">
        <v>0</v>
      </c>
    </row>
    <row r="2418" spans="1:5" x14ac:dyDescent="0.25">
      <c r="A2418" s="18">
        <v>1987</v>
      </c>
      <c r="B2418" s="18" t="s">
        <v>88</v>
      </c>
      <c r="C2418" s="18">
        <v>0</v>
      </c>
      <c r="D2418" s="18">
        <v>0</v>
      </c>
      <c r="E2418" s="18">
        <v>0</v>
      </c>
    </row>
    <row r="2419" spans="1:5" x14ac:dyDescent="0.25">
      <c r="A2419" s="18">
        <v>1988</v>
      </c>
      <c r="B2419" s="18" t="s">
        <v>88</v>
      </c>
      <c r="C2419" s="18">
        <v>0</v>
      </c>
      <c r="D2419" s="18">
        <v>0</v>
      </c>
      <c r="E2419" s="18">
        <v>0</v>
      </c>
    </row>
    <row r="2420" spans="1:5" x14ac:dyDescent="0.25">
      <c r="A2420" s="18">
        <v>1989</v>
      </c>
      <c r="B2420" s="18" t="s">
        <v>88</v>
      </c>
      <c r="C2420" s="18">
        <v>0</v>
      </c>
      <c r="D2420" s="18">
        <v>0</v>
      </c>
      <c r="E2420" s="18">
        <v>0</v>
      </c>
    </row>
    <row r="2421" spans="1:5" x14ac:dyDescent="0.25">
      <c r="A2421" s="18">
        <v>1990</v>
      </c>
      <c r="B2421" s="18" t="s">
        <v>88</v>
      </c>
      <c r="C2421" s="18">
        <v>3313</v>
      </c>
      <c r="D2421" s="18">
        <v>3476</v>
      </c>
      <c r="E2421" s="18">
        <v>6789</v>
      </c>
    </row>
    <row r="2422" spans="1:5" x14ac:dyDescent="0.25">
      <c r="A2422" s="18">
        <v>1991</v>
      </c>
      <c r="B2422" s="18" t="s">
        <v>88</v>
      </c>
      <c r="C2422" s="18">
        <v>0</v>
      </c>
      <c r="D2422" s="18">
        <v>0</v>
      </c>
      <c r="E2422" s="18">
        <v>0</v>
      </c>
    </row>
    <row r="2423" spans="1:5" x14ac:dyDescent="0.25">
      <c r="A2423" s="18">
        <v>1992</v>
      </c>
      <c r="B2423" s="18" t="s">
        <v>88</v>
      </c>
      <c r="C2423" s="18">
        <v>0</v>
      </c>
      <c r="D2423" s="18">
        <v>0</v>
      </c>
      <c r="E2423" s="18">
        <v>0</v>
      </c>
    </row>
    <row r="2424" spans="1:5" x14ac:dyDescent="0.25">
      <c r="A2424" s="18">
        <v>1993</v>
      </c>
      <c r="B2424" s="18" t="s">
        <v>88</v>
      </c>
      <c r="C2424" s="18">
        <v>0</v>
      </c>
      <c r="D2424" s="18">
        <v>0</v>
      </c>
      <c r="E2424" s="18">
        <v>0</v>
      </c>
    </row>
    <row r="2425" spans="1:5" x14ac:dyDescent="0.25">
      <c r="A2425" s="18">
        <v>1994</v>
      </c>
      <c r="B2425" s="18" t="s">
        <v>88</v>
      </c>
      <c r="C2425" s="18">
        <v>0</v>
      </c>
      <c r="D2425" s="18">
        <v>0</v>
      </c>
      <c r="E2425" s="18">
        <v>0</v>
      </c>
    </row>
    <row r="2426" spans="1:5" x14ac:dyDescent="0.25">
      <c r="A2426" s="18">
        <v>1995</v>
      </c>
      <c r="B2426" s="18" t="s">
        <v>88</v>
      </c>
      <c r="C2426" s="18">
        <v>0</v>
      </c>
      <c r="D2426" s="18">
        <v>0</v>
      </c>
      <c r="E2426" s="18">
        <v>0</v>
      </c>
    </row>
    <row r="2427" spans="1:5" x14ac:dyDescent="0.25">
      <c r="A2427" s="18">
        <v>1996</v>
      </c>
      <c r="B2427" s="18" t="s">
        <v>88</v>
      </c>
      <c r="C2427" s="18">
        <v>0</v>
      </c>
      <c r="D2427" s="18">
        <v>0</v>
      </c>
      <c r="E2427" s="18">
        <v>0</v>
      </c>
    </row>
    <row r="2428" spans="1:5" x14ac:dyDescent="0.25">
      <c r="A2428" s="18">
        <v>1997</v>
      </c>
      <c r="B2428" s="18" t="s">
        <v>88</v>
      </c>
      <c r="C2428" s="18">
        <v>0</v>
      </c>
      <c r="D2428" s="18">
        <v>0</v>
      </c>
      <c r="E2428" s="18">
        <v>0</v>
      </c>
    </row>
    <row r="2429" spans="1:5" x14ac:dyDescent="0.25">
      <c r="A2429" s="18">
        <v>1998</v>
      </c>
      <c r="B2429" s="18" t="s">
        <v>88</v>
      </c>
      <c r="C2429" s="18">
        <v>0</v>
      </c>
      <c r="D2429" s="18">
        <v>0</v>
      </c>
      <c r="E2429" s="18">
        <v>0</v>
      </c>
    </row>
    <row r="2430" spans="1:5" x14ac:dyDescent="0.25">
      <c r="A2430" s="18">
        <v>1999</v>
      </c>
      <c r="B2430" s="18" t="s">
        <v>88</v>
      </c>
      <c r="C2430" s="18">
        <v>0</v>
      </c>
      <c r="D2430" s="18">
        <v>0</v>
      </c>
      <c r="E2430" s="18">
        <v>0</v>
      </c>
    </row>
    <row r="2431" spans="1:5" x14ac:dyDescent="0.25">
      <c r="A2431" s="18">
        <v>2000</v>
      </c>
      <c r="B2431" s="18" t="s">
        <v>88</v>
      </c>
      <c r="C2431" s="18">
        <v>3587</v>
      </c>
      <c r="D2431" s="18">
        <v>3853</v>
      </c>
      <c r="E2431" s="18">
        <v>7441</v>
      </c>
    </row>
    <row r="2432" spans="1:5" x14ac:dyDescent="0.25">
      <c r="A2432" s="18">
        <v>2001</v>
      </c>
      <c r="B2432" s="18" t="s">
        <v>88</v>
      </c>
      <c r="C2432" s="18">
        <v>0</v>
      </c>
      <c r="D2432" s="18">
        <v>0</v>
      </c>
      <c r="E2432" s="18">
        <v>0</v>
      </c>
    </row>
    <row r="2433" spans="1:5" x14ac:dyDescent="0.25">
      <c r="A2433" s="18">
        <v>2002</v>
      </c>
      <c r="B2433" s="18" t="s">
        <v>88</v>
      </c>
      <c r="C2433" s="18">
        <v>0</v>
      </c>
      <c r="D2433" s="18">
        <v>0</v>
      </c>
      <c r="E2433" s="18">
        <v>0</v>
      </c>
    </row>
    <row r="2434" spans="1:5" x14ac:dyDescent="0.25">
      <c r="A2434" s="18">
        <v>2003</v>
      </c>
      <c r="B2434" s="18" t="s">
        <v>88</v>
      </c>
      <c r="C2434" s="18">
        <v>0</v>
      </c>
      <c r="D2434" s="18">
        <v>0</v>
      </c>
      <c r="E2434" s="18">
        <v>0</v>
      </c>
    </row>
    <row r="2435" spans="1:5" x14ac:dyDescent="0.25">
      <c r="A2435" s="18">
        <v>2004</v>
      </c>
      <c r="B2435" s="18" t="s">
        <v>88</v>
      </c>
      <c r="C2435" s="18">
        <v>0</v>
      </c>
      <c r="D2435" s="18">
        <v>0</v>
      </c>
      <c r="E2435" s="18">
        <v>0</v>
      </c>
    </row>
    <row r="2436" spans="1:5" x14ac:dyDescent="0.25">
      <c r="A2436" s="18">
        <v>2005</v>
      </c>
      <c r="B2436" s="18" t="s">
        <v>88</v>
      </c>
      <c r="C2436" s="18">
        <v>0</v>
      </c>
      <c r="D2436" s="18">
        <v>0</v>
      </c>
      <c r="E2436" s="18">
        <v>0</v>
      </c>
    </row>
    <row r="2437" spans="1:5" x14ac:dyDescent="0.25">
      <c r="A2437" s="18">
        <v>2006</v>
      </c>
      <c r="B2437" s="18" t="s">
        <v>88</v>
      </c>
      <c r="C2437" s="18">
        <v>0</v>
      </c>
      <c r="D2437" s="18">
        <v>0</v>
      </c>
      <c r="E2437" s="18">
        <v>0</v>
      </c>
    </row>
    <row r="2438" spans="1:5" x14ac:dyDescent="0.25">
      <c r="A2438" s="18">
        <v>2007</v>
      </c>
      <c r="B2438" s="18" t="s">
        <v>88</v>
      </c>
      <c r="C2438" s="18">
        <v>0</v>
      </c>
      <c r="D2438" s="18">
        <v>0</v>
      </c>
      <c r="E2438" s="18">
        <v>0</v>
      </c>
    </row>
    <row r="2439" spans="1:5" x14ac:dyDescent="0.25">
      <c r="A2439" s="18">
        <v>2008</v>
      </c>
      <c r="B2439" s="18" t="s">
        <v>88</v>
      </c>
      <c r="C2439" s="18">
        <v>0</v>
      </c>
      <c r="D2439" s="18">
        <v>0</v>
      </c>
      <c r="E2439" s="18">
        <v>0</v>
      </c>
    </row>
    <row r="2440" spans="1:5" x14ac:dyDescent="0.25">
      <c r="A2440" s="18">
        <v>1950</v>
      </c>
      <c r="B2440" s="18" t="s">
        <v>109</v>
      </c>
      <c r="C2440" s="18">
        <v>0</v>
      </c>
      <c r="D2440" s="18">
        <v>0</v>
      </c>
      <c r="E2440" s="18">
        <v>0</v>
      </c>
    </row>
    <row r="2441" spans="1:5" x14ac:dyDescent="0.25">
      <c r="A2441" s="18">
        <v>1951</v>
      </c>
      <c r="B2441" s="18" t="s">
        <v>109</v>
      </c>
      <c r="C2441" s="18">
        <v>0</v>
      </c>
      <c r="D2441" s="18">
        <v>0</v>
      </c>
      <c r="E2441" s="18">
        <v>0</v>
      </c>
    </row>
    <row r="2442" spans="1:5" x14ac:dyDescent="0.25">
      <c r="A2442" s="18">
        <v>1952</v>
      </c>
      <c r="B2442" s="18" t="s">
        <v>109</v>
      </c>
      <c r="C2442" s="18">
        <v>0</v>
      </c>
      <c r="D2442" s="18">
        <v>0</v>
      </c>
      <c r="E2442" s="18">
        <v>0</v>
      </c>
    </row>
    <row r="2443" spans="1:5" x14ac:dyDescent="0.25">
      <c r="A2443" s="18">
        <v>1953</v>
      </c>
      <c r="B2443" s="18" t="s">
        <v>109</v>
      </c>
      <c r="C2443" s="18">
        <v>0</v>
      </c>
      <c r="D2443" s="18">
        <v>0</v>
      </c>
      <c r="E2443" s="18">
        <v>0</v>
      </c>
    </row>
    <row r="2444" spans="1:5" x14ac:dyDescent="0.25">
      <c r="A2444" s="18">
        <v>1954</v>
      </c>
      <c r="B2444" s="18" t="s">
        <v>109</v>
      </c>
      <c r="C2444" s="18">
        <v>0</v>
      </c>
      <c r="D2444" s="18">
        <v>0</v>
      </c>
      <c r="E2444" s="18">
        <v>0</v>
      </c>
    </row>
    <row r="2445" spans="1:5" x14ac:dyDescent="0.25">
      <c r="A2445" s="18">
        <v>1955</v>
      </c>
      <c r="B2445" s="18" t="s">
        <v>109</v>
      </c>
      <c r="C2445" s="18">
        <v>0</v>
      </c>
      <c r="D2445" s="18">
        <v>0</v>
      </c>
      <c r="E2445" s="18">
        <v>0</v>
      </c>
    </row>
    <row r="2446" spans="1:5" x14ac:dyDescent="0.25">
      <c r="A2446" s="18">
        <v>1956</v>
      </c>
      <c r="B2446" s="18" t="s">
        <v>109</v>
      </c>
      <c r="C2446" s="18">
        <v>0</v>
      </c>
      <c r="D2446" s="18">
        <v>0</v>
      </c>
      <c r="E2446" s="18">
        <v>0</v>
      </c>
    </row>
    <row r="2447" spans="1:5" x14ac:dyDescent="0.25">
      <c r="A2447" s="18">
        <v>1957</v>
      </c>
      <c r="B2447" s="18" t="s">
        <v>109</v>
      </c>
      <c r="C2447" s="18">
        <v>0</v>
      </c>
      <c r="D2447" s="18">
        <v>0</v>
      </c>
      <c r="E2447" s="18">
        <v>0</v>
      </c>
    </row>
    <row r="2448" spans="1:5" x14ac:dyDescent="0.25">
      <c r="A2448" s="18">
        <v>1958</v>
      </c>
      <c r="B2448" s="18" t="s">
        <v>109</v>
      </c>
      <c r="C2448" s="18">
        <v>0</v>
      </c>
      <c r="D2448" s="18">
        <v>0</v>
      </c>
      <c r="E2448" s="18">
        <v>0</v>
      </c>
    </row>
    <row r="2449" spans="1:5" x14ac:dyDescent="0.25">
      <c r="A2449" s="18">
        <v>1959</v>
      </c>
      <c r="B2449" s="18" t="s">
        <v>109</v>
      </c>
      <c r="C2449" s="18">
        <v>0</v>
      </c>
      <c r="D2449" s="18">
        <v>0</v>
      </c>
      <c r="E2449" s="18">
        <v>0</v>
      </c>
    </row>
    <row r="2450" spans="1:5" x14ac:dyDescent="0.25">
      <c r="A2450" s="18">
        <v>1960</v>
      </c>
      <c r="B2450" s="18" t="s">
        <v>109</v>
      </c>
      <c r="C2450" s="18">
        <v>0</v>
      </c>
      <c r="D2450" s="18">
        <v>0</v>
      </c>
      <c r="E2450" s="18">
        <v>0</v>
      </c>
    </row>
    <row r="2451" spans="1:5" x14ac:dyDescent="0.25">
      <c r="A2451" s="18">
        <v>1961</v>
      </c>
      <c r="B2451" s="18" t="s">
        <v>109</v>
      </c>
      <c r="C2451" s="18">
        <v>0</v>
      </c>
      <c r="D2451" s="18">
        <v>0</v>
      </c>
      <c r="E2451" s="18">
        <v>0</v>
      </c>
    </row>
    <row r="2452" spans="1:5" x14ac:dyDescent="0.25">
      <c r="A2452" s="18">
        <v>1962</v>
      </c>
      <c r="B2452" s="18" t="s">
        <v>109</v>
      </c>
      <c r="C2452" s="18">
        <v>0</v>
      </c>
      <c r="D2452" s="18">
        <v>0</v>
      </c>
      <c r="E2452" s="18">
        <v>0</v>
      </c>
    </row>
    <row r="2453" spans="1:5" x14ac:dyDescent="0.25">
      <c r="A2453" s="18">
        <v>1963</v>
      </c>
      <c r="B2453" s="18" t="s">
        <v>109</v>
      </c>
      <c r="C2453" s="18">
        <v>0</v>
      </c>
      <c r="D2453" s="18">
        <v>0</v>
      </c>
      <c r="E2453" s="18">
        <v>0</v>
      </c>
    </row>
    <row r="2454" spans="1:5" x14ac:dyDescent="0.25">
      <c r="A2454" s="18">
        <v>1964</v>
      </c>
      <c r="B2454" s="18" t="s">
        <v>109</v>
      </c>
      <c r="C2454" s="18">
        <v>0</v>
      </c>
      <c r="D2454" s="18">
        <v>0</v>
      </c>
      <c r="E2454" s="18">
        <v>0</v>
      </c>
    </row>
    <row r="2455" spans="1:5" x14ac:dyDescent="0.25">
      <c r="A2455" s="18">
        <v>1965</v>
      </c>
      <c r="B2455" s="18" t="s">
        <v>109</v>
      </c>
      <c r="C2455" s="18">
        <v>0</v>
      </c>
      <c r="D2455" s="18">
        <v>0</v>
      </c>
      <c r="E2455" s="18">
        <v>0</v>
      </c>
    </row>
    <row r="2456" spans="1:5" x14ac:dyDescent="0.25">
      <c r="A2456" s="18">
        <v>1966</v>
      </c>
      <c r="B2456" s="18" t="s">
        <v>109</v>
      </c>
      <c r="C2456" s="18">
        <v>0</v>
      </c>
      <c r="D2456" s="18">
        <v>0</v>
      </c>
      <c r="E2456" s="18">
        <v>0</v>
      </c>
    </row>
    <row r="2457" spans="1:5" x14ac:dyDescent="0.25">
      <c r="A2457" s="18">
        <v>1967</v>
      </c>
      <c r="B2457" s="18" t="s">
        <v>109</v>
      </c>
      <c r="C2457" s="18">
        <v>0</v>
      </c>
      <c r="D2457" s="18">
        <v>0</v>
      </c>
      <c r="E2457" s="18">
        <v>0</v>
      </c>
    </row>
    <row r="2458" spans="1:5" x14ac:dyDescent="0.25">
      <c r="A2458" s="18">
        <v>1968</v>
      </c>
      <c r="B2458" s="18" t="s">
        <v>109</v>
      </c>
      <c r="C2458" s="18">
        <v>0</v>
      </c>
      <c r="D2458" s="18">
        <v>0</v>
      </c>
      <c r="E2458" s="18">
        <v>0</v>
      </c>
    </row>
    <row r="2459" spans="1:5" x14ac:dyDescent="0.25">
      <c r="A2459" s="18">
        <v>1969</v>
      </c>
      <c r="B2459" s="18" t="s">
        <v>109</v>
      </c>
      <c r="C2459" s="18">
        <v>0</v>
      </c>
      <c r="D2459" s="18">
        <v>0</v>
      </c>
      <c r="E2459" s="18">
        <v>0</v>
      </c>
    </row>
    <row r="2460" spans="1:5" x14ac:dyDescent="0.25">
      <c r="A2460" s="18">
        <v>1970</v>
      </c>
      <c r="B2460" s="18" t="s">
        <v>109</v>
      </c>
      <c r="C2460" s="18">
        <v>0</v>
      </c>
      <c r="D2460" s="18">
        <v>0</v>
      </c>
      <c r="E2460" s="18">
        <v>0</v>
      </c>
    </row>
    <row r="2461" spans="1:5" x14ac:dyDescent="0.25">
      <c r="A2461" s="18">
        <v>1971</v>
      </c>
      <c r="B2461" s="18" t="s">
        <v>109</v>
      </c>
      <c r="C2461" s="18">
        <v>0</v>
      </c>
      <c r="D2461" s="18">
        <v>0</v>
      </c>
      <c r="E2461" s="18">
        <v>0</v>
      </c>
    </row>
    <row r="2462" spans="1:5" x14ac:dyDescent="0.25">
      <c r="A2462" s="18">
        <v>1972</v>
      </c>
      <c r="B2462" s="18" t="s">
        <v>109</v>
      </c>
      <c r="C2462" s="18">
        <v>0</v>
      </c>
      <c r="D2462" s="18">
        <v>0</v>
      </c>
      <c r="E2462" s="18">
        <v>0</v>
      </c>
    </row>
    <row r="2463" spans="1:5" x14ac:dyDescent="0.25">
      <c r="A2463" s="18">
        <v>1973</v>
      </c>
      <c r="B2463" s="18" t="s">
        <v>109</v>
      </c>
      <c r="C2463" s="18">
        <v>0</v>
      </c>
      <c r="D2463" s="18">
        <v>0</v>
      </c>
      <c r="E2463" s="18">
        <v>0</v>
      </c>
    </row>
    <row r="2464" spans="1:5" x14ac:dyDescent="0.25">
      <c r="A2464" s="18">
        <v>1974</v>
      </c>
      <c r="B2464" s="18" t="s">
        <v>109</v>
      </c>
      <c r="C2464" s="18">
        <v>0</v>
      </c>
      <c r="D2464" s="18">
        <v>0</v>
      </c>
      <c r="E2464" s="18">
        <v>0</v>
      </c>
    </row>
    <row r="2465" spans="1:5" x14ac:dyDescent="0.25">
      <c r="A2465" s="18">
        <v>1975</v>
      </c>
      <c r="B2465" s="18" t="s">
        <v>109</v>
      </c>
      <c r="C2465" s="18">
        <v>3580</v>
      </c>
      <c r="D2465" s="18">
        <v>2688</v>
      </c>
      <c r="E2465" s="18">
        <v>6268</v>
      </c>
    </row>
    <row r="2466" spans="1:5" x14ac:dyDescent="0.25">
      <c r="A2466" s="18">
        <v>1976</v>
      </c>
      <c r="B2466" s="18" t="s">
        <v>109</v>
      </c>
      <c r="C2466" s="18">
        <v>0</v>
      </c>
      <c r="D2466" s="18">
        <v>0</v>
      </c>
      <c r="E2466" s="18">
        <v>0</v>
      </c>
    </row>
    <row r="2467" spans="1:5" x14ac:dyDescent="0.25">
      <c r="A2467" s="18">
        <v>1977</v>
      </c>
      <c r="B2467" s="18" t="s">
        <v>109</v>
      </c>
      <c r="C2467" s="18">
        <v>0</v>
      </c>
      <c r="D2467" s="18">
        <v>0</v>
      </c>
      <c r="E2467" s="18">
        <v>0</v>
      </c>
    </row>
    <row r="2468" spans="1:5" x14ac:dyDescent="0.25">
      <c r="A2468" s="18">
        <v>1978</v>
      </c>
      <c r="B2468" s="18" t="s">
        <v>109</v>
      </c>
      <c r="C2468" s="18">
        <v>0</v>
      </c>
      <c r="D2468" s="18">
        <v>0</v>
      </c>
      <c r="E2468" s="18">
        <v>0</v>
      </c>
    </row>
    <row r="2469" spans="1:5" x14ac:dyDescent="0.25">
      <c r="A2469" s="18">
        <v>1979</v>
      </c>
      <c r="B2469" s="18" t="s">
        <v>109</v>
      </c>
      <c r="C2469" s="18">
        <v>0</v>
      </c>
      <c r="D2469" s="18">
        <v>0</v>
      </c>
      <c r="E2469" s="18">
        <v>0</v>
      </c>
    </row>
    <row r="2470" spans="1:5" x14ac:dyDescent="0.25">
      <c r="A2470" s="18">
        <v>1980</v>
      </c>
      <c r="B2470" s="18" t="s">
        <v>109</v>
      </c>
      <c r="C2470" s="18">
        <v>1543</v>
      </c>
      <c r="D2470" s="18">
        <v>1749</v>
      </c>
      <c r="E2470" s="18">
        <v>3292</v>
      </c>
    </row>
    <row r="2471" spans="1:5" x14ac:dyDescent="0.25">
      <c r="A2471" s="18">
        <v>1981</v>
      </c>
      <c r="B2471" s="18" t="s">
        <v>109</v>
      </c>
      <c r="C2471" s="18">
        <v>0</v>
      </c>
      <c r="D2471" s="18">
        <v>0</v>
      </c>
      <c r="E2471" s="18">
        <v>0</v>
      </c>
    </row>
    <row r="2472" spans="1:5" x14ac:dyDescent="0.25">
      <c r="A2472" s="18">
        <v>1982</v>
      </c>
      <c r="B2472" s="18" t="s">
        <v>109</v>
      </c>
      <c r="C2472" s="18">
        <v>0</v>
      </c>
      <c r="D2472" s="18">
        <v>0</v>
      </c>
      <c r="E2472" s="18">
        <v>0</v>
      </c>
    </row>
    <row r="2473" spans="1:5" x14ac:dyDescent="0.25">
      <c r="A2473" s="18">
        <v>1983</v>
      </c>
      <c r="B2473" s="18" t="s">
        <v>109</v>
      </c>
      <c r="C2473" s="18">
        <v>0</v>
      </c>
      <c r="D2473" s="18">
        <v>0</v>
      </c>
      <c r="E2473" s="18">
        <v>0</v>
      </c>
    </row>
    <row r="2474" spans="1:5" x14ac:dyDescent="0.25">
      <c r="A2474" s="18">
        <v>1984</v>
      </c>
      <c r="B2474" s="18" t="s">
        <v>109</v>
      </c>
      <c r="C2474" s="18">
        <v>0</v>
      </c>
      <c r="D2474" s="18">
        <v>0</v>
      </c>
      <c r="E2474" s="18">
        <v>0</v>
      </c>
    </row>
    <row r="2475" spans="1:5" x14ac:dyDescent="0.25">
      <c r="A2475" s="18">
        <v>1985</v>
      </c>
      <c r="B2475" s="18" t="s">
        <v>109</v>
      </c>
      <c r="C2475" s="18">
        <v>1518</v>
      </c>
      <c r="D2475" s="18">
        <v>1653</v>
      </c>
      <c r="E2475" s="18">
        <v>3171</v>
      </c>
    </row>
    <row r="2476" spans="1:5" x14ac:dyDescent="0.25">
      <c r="A2476" s="18">
        <v>1986</v>
      </c>
      <c r="B2476" s="18" t="s">
        <v>109</v>
      </c>
      <c r="C2476" s="18">
        <v>0</v>
      </c>
      <c r="D2476" s="18">
        <v>0</v>
      </c>
      <c r="E2476" s="18">
        <v>0</v>
      </c>
    </row>
    <row r="2477" spans="1:5" x14ac:dyDescent="0.25">
      <c r="A2477" s="18">
        <v>1987</v>
      </c>
      <c r="B2477" s="18" t="s">
        <v>109</v>
      </c>
      <c r="C2477" s="18">
        <v>0</v>
      </c>
      <c r="D2477" s="18">
        <v>0</v>
      </c>
      <c r="E2477" s="18">
        <v>0</v>
      </c>
    </row>
    <row r="2478" spans="1:5" x14ac:dyDescent="0.25">
      <c r="A2478" s="18">
        <v>1988</v>
      </c>
      <c r="B2478" s="18" t="s">
        <v>109</v>
      </c>
      <c r="C2478" s="18">
        <v>0</v>
      </c>
      <c r="D2478" s="18">
        <v>0</v>
      </c>
      <c r="E2478" s="18">
        <v>0</v>
      </c>
    </row>
    <row r="2479" spans="1:5" x14ac:dyDescent="0.25">
      <c r="A2479" s="18">
        <v>1989</v>
      </c>
      <c r="B2479" s="18" t="s">
        <v>109</v>
      </c>
      <c r="C2479" s="18">
        <v>0</v>
      </c>
      <c r="D2479" s="18">
        <v>0</v>
      </c>
      <c r="E2479" s="18">
        <v>0</v>
      </c>
    </row>
    <row r="2480" spans="1:5" x14ac:dyDescent="0.25">
      <c r="A2480" s="18">
        <v>1990</v>
      </c>
      <c r="B2480" s="18" t="s">
        <v>109</v>
      </c>
      <c r="C2480" s="18">
        <v>2188</v>
      </c>
      <c r="D2480" s="18">
        <v>2222</v>
      </c>
      <c r="E2480" s="18">
        <v>4410</v>
      </c>
    </row>
    <row r="2481" spans="1:5" x14ac:dyDescent="0.25">
      <c r="A2481" s="18">
        <v>1991</v>
      </c>
      <c r="B2481" s="18" t="s">
        <v>109</v>
      </c>
      <c r="C2481" s="18">
        <v>0</v>
      </c>
      <c r="D2481" s="18">
        <v>0</v>
      </c>
      <c r="E2481" s="18">
        <v>0</v>
      </c>
    </row>
    <row r="2482" spans="1:5" x14ac:dyDescent="0.25">
      <c r="A2482" s="18">
        <v>1992</v>
      </c>
      <c r="B2482" s="18" t="s">
        <v>109</v>
      </c>
      <c r="C2482" s="18">
        <v>0</v>
      </c>
      <c r="D2482" s="18">
        <v>0</v>
      </c>
      <c r="E2482" s="18">
        <v>0</v>
      </c>
    </row>
    <row r="2483" spans="1:5" x14ac:dyDescent="0.25">
      <c r="A2483" s="18">
        <v>1993</v>
      </c>
      <c r="B2483" s="18" t="s">
        <v>109</v>
      </c>
      <c r="C2483" s="18">
        <v>0</v>
      </c>
      <c r="D2483" s="18">
        <v>0</v>
      </c>
      <c r="E2483" s="18">
        <v>0</v>
      </c>
    </row>
    <row r="2484" spans="1:5" x14ac:dyDescent="0.25">
      <c r="A2484" s="18">
        <v>1994</v>
      </c>
      <c r="B2484" s="18" t="s">
        <v>109</v>
      </c>
      <c r="C2484" s="18">
        <v>0</v>
      </c>
      <c r="D2484" s="18">
        <v>0</v>
      </c>
      <c r="E2484" s="18">
        <v>0</v>
      </c>
    </row>
    <row r="2485" spans="1:5" x14ac:dyDescent="0.25">
      <c r="A2485" s="18">
        <v>1995</v>
      </c>
      <c r="B2485" s="18" t="s">
        <v>109</v>
      </c>
      <c r="C2485" s="18">
        <v>0</v>
      </c>
      <c r="D2485" s="18">
        <v>0</v>
      </c>
      <c r="E2485" s="18">
        <v>0</v>
      </c>
    </row>
    <row r="2486" spans="1:5" x14ac:dyDescent="0.25">
      <c r="A2486" s="18">
        <v>1996</v>
      </c>
      <c r="B2486" s="18" t="s">
        <v>109</v>
      </c>
      <c r="C2486" s="18">
        <v>0</v>
      </c>
      <c r="D2486" s="18">
        <v>0</v>
      </c>
      <c r="E2486" s="18">
        <v>0</v>
      </c>
    </row>
    <row r="2487" spans="1:5" x14ac:dyDescent="0.25">
      <c r="A2487" s="18">
        <v>1997</v>
      </c>
      <c r="B2487" s="18" t="s">
        <v>109</v>
      </c>
      <c r="C2487" s="18">
        <v>0</v>
      </c>
      <c r="D2487" s="18">
        <v>0</v>
      </c>
      <c r="E2487" s="18">
        <v>0</v>
      </c>
    </row>
    <row r="2488" spans="1:5" x14ac:dyDescent="0.25">
      <c r="A2488" s="18">
        <v>1998</v>
      </c>
      <c r="B2488" s="18" t="s">
        <v>109</v>
      </c>
      <c r="C2488" s="18">
        <v>0</v>
      </c>
      <c r="D2488" s="18">
        <v>0</v>
      </c>
      <c r="E2488" s="18">
        <v>0</v>
      </c>
    </row>
    <row r="2489" spans="1:5" x14ac:dyDescent="0.25">
      <c r="A2489" s="18">
        <v>1999</v>
      </c>
      <c r="B2489" s="18" t="s">
        <v>109</v>
      </c>
      <c r="C2489" s="18">
        <v>0</v>
      </c>
      <c r="D2489" s="18">
        <v>0</v>
      </c>
      <c r="E2489" s="18">
        <v>0</v>
      </c>
    </row>
    <row r="2490" spans="1:5" x14ac:dyDescent="0.25">
      <c r="A2490" s="18">
        <v>2000</v>
      </c>
      <c r="B2490" s="18" t="s">
        <v>109</v>
      </c>
      <c r="C2490" s="18">
        <v>2914</v>
      </c>
      <c r="D2490" s="18">
        <v>3026</v>
      </c>
      <c r="E2490" s="18">
        <v>5940</v>
      </c>
    </row>
    <row r="2491" spans="1:5" x14ac:dyDescent="0.25">
      <c r="A2491" s="18">
        <v>2001</v>
      </c>
      <c r="B2491" s="18" t="s">
        <v>109</v>
      </c>
      <c r="C2491" s="18">
        <v>0</v>
      </c>
      <c r="D2491" s="18">
        <v>0</v>
      </c>
      <c r="E2491" s="18">
        <v>0</v>
      </c>
    </row>
    <row r="2492" spans="1:5" x14ac:dyDescent="0.25">
      <c r="A2492" s="18">
        <v>2002</v>
      </c>
      <c r="B2492" s="18" t="s">
        <v>109</v>
      </c>
      <c r="C2492" s="18">
        <v>0</v>
      </c>
      <c r="D2492" s="18">
        <v>0</v>
      </c>
      <c r="E2492" s="18">
        <v>0</v>
      </c>
    </row>
    <row r="2493" spans="1:5" x14ac:dyDescent="0.25">
      <c r="A2493" s="18">
        <v>2003</v>
      </c>
      <c r="B2493" s="18" t="s">
        <v>109</v>
      </c>
      <c r="C2493" s="18">
        <v>0</v>
      </c>
      <c r="D2493" s="18">
        <v>0</v>
      </c>
      <c r="E2493" s="18">
        <v>0</v>
      </c>
    </row>
    <row r="2494" spans="1:5" x14ac:dyDescent="0.25">
      <c r="A2494" s="18">
        <v>2004</v>
      </c>
      <c r="B2494" s="18" t="s">
        <v>109</v>
      </c>
      <c r="C2494" s="18">
        <v>0</v>
      </c>
      <c r="D2494" s="18">
        <v>0</v>
      </c>
      <c r="E2494" s="18">
        <v>0</v>
      </c>
    </row>
    <row r="2495" spans="1:5" x14ac:dyDescent="0.25">
      <c r="A2495" s="18">
        <v>2005</v>
      </c>
      <c r="B2495" s="18" t="s">
        <v>109</v>
      </c>
      <c r="C2495" s="18">
        <v>0</v>
      </c>
      <c r="D2495" s="18">
        <v>0</v>
      </c>
      <c r="E2495" s="18">
        <v>0</v>
      </c>
    </row>
    <row r="2496" spans="1:5" x14ac:dyDescent="0.25">
      <c r="A2496" s="18">
        <v>2006</v>
      </c>
      <c r="B2496" s="18" t="s">
        <v>109</v>
      </c>
      <c r="C2496" s="18">
        <v>0</v>
      </c>
      <c r="D2496" s="18">
        <v>0</v>
      </c>
      <c r="E2496" s="18">
        <v>0</v>
      </c>
    </row>
    <row r="2497" spans="1:5" x14ac:dyDescent="0.25">
      <c r="A2497" s="18">
        <v>2007</v>
      </c>
      <c r="B2497" s="18" t="s">
        <v>109</v>
      </c>
      <c r="C2497" s="18">
        <v>0</v>
      </c>
      <c r="D2497" s="18">
        <v>0</v>
      </c>
      <c r="E2497" s="18">
        <v>0</v>
      </c>
    </row>
    <row r="2498" spans="1:5" x14ac:dyDescent="0.25">
      <c r="A2498" s="18">
        <v>2008</v>
      </c>
      <c r="B2498" s="18" t="s">
        <v>109</v>
      </c>
      <c r="C2498" s="18">
        <v>0</v>
      </c>
      <c r="D2498" s="18">
        <v>0</v>
      </c>
      <c r="E2498" s="18">
        <v>0</v>
      </c>
    </row>
    <row r="2499" spans="1:5" x14ac:dyDescent="0.25">
      <c r="A2499" s="18">
        <v>1950</v>
      </c>
      <c r="B2499" s="18" t="s">
        <v>80</v>
      </c>
      <c r="C2499" s="18">
        <v>0</v>
      </c>
      <c r="D2499" s="18">
        <v>0</v>
      </c>
      <c r="E2499" s="18">
        <v>0</v>
      </c>
    </row>
    <row r="2500" spans="1:5" x14ac:dyDescent="0.25">
      <c r="A2500" s="18">
        <v>1951</v>
      </c>
      <c r="B2500" s="18" t="s">
        <v>80</v>
      </c>
      <c r="C2500" s="18">
        <v>0</v>
      </c>
      <c r="D2500" s="18">
        <v>0</v>
      </c>
      <c r="E2500" s="18">
        <v>0</v>
      </c>
    </row>
    <row r="2501" spans="1:5" x14ac:dyDescent="0.25">
      <c r="A2501" s="18">
        <v>1952</v>
      </c>
      <c r="B2501" s="18" t="s">
        <v>80</v>
      </c>
      <c r="C2501" s="18">
        <v>0</v>
      </c>
      <c r="D2501" s="18">
        <v>0</v>
      </c>
      <c r="E2501" s="18">
        <v>0</v>
      </c>
    </row>
    <row r="2502" spans="1:5" x14ac:dyDescent="0.25">
      <c r="A2502" s="18">
        <v>1953</v>
      </c>
      <c r="B2502" s="18" t="s">
        <v>80</v>
      </c>
      <c r="C2502" s="18">
        <v>0</v>
      </c>
      <c r="D2502" s="18">
        <v>0</v>
      </c>
      <c r="E2502" s="18">
        <v>0</v>
      </c>
    </row>
    <row r="2503" spans="1:5" x14ac:dyDescent="0.25">
      <c r="A2503" s="18">
        <v>1954</v>
      </c>
      <c r="B2503" s="18" t="s">
        <v>80</v>
      </c>
      <c r="C2503" s="18">
        <v>0</v>
      </c>
      <c r="D2503" s="18">
        <v>0</v>
      </c>
      <c r="E2503" s="18">
        <v>0</v>
      </c>
    </row>
    <row r="2504" spans="1:5" x14ac:dyDescent="0.25">
      <c r="A2504" s="18">
        <v>1955</v>
      </c>
      <c r="B2504" s="18" t="s">
        <v>80</v>
      </c>
      <c r="C2504" s="18">
        <v>0</v>
      </c>
      <c r="D2504" s="18">
        <v>0</v>
      </c>
      <c r="E2504" s="18">
        <v>0</v>
      </c>
    </row>
    <row r="2505" spans="1:5" x14ac:dyDescent="0.25">
      <c r="A2505" s="18">
        <v>1956</v>
      </c>
      <c r="B2505" s="18" t="s">
        <v>80</v>
      </c>
      <c r="C2505" s="18">
        <v>0</v>
      </c>
      <c r="D2505" s="18">
        <v>0</v>
      </c>
      <c r="E2505" s="18">
        <v>0</v>
      </c>
    </row>
    <row r="2506" spans="1:5" x14ac:dyDescent="0.25">
      <c r="A2506" s="18">
        <v>1957</v>
      </c>
      <c r="B2506" s="18" t="s">
        <v>80</v>
      </c>
      <c r="C2506" s="18">
        <v>0</v>
      </c>
      <c r="D2506" s="18">
        <v>0</v>
      </c>
      <c r="E2506" s="18">
        <v>0</v>
      </c>
    </row>
    <row r="2507" spans="1:5" x14ac:dyDescent="0.25">
      <c r="A2507" s="18">
        <v>1958</v>
      </c>
      <c r="B2507" s="18" t="s">
        <v>80</v>
      </c>
      <c r="C2507" s="18">
        <v>0</v>
      </c>
      <c r="D2507" s="18">
        <v>0</v>
      </c>
      <c r="E2507" s="18">
        <v>0</v>
      </c>
    </row>
    <row r="2508" spans="1:5" x14ac:dyDescent="0.25">
      <c r="A2508" s="18">
        <v>1959</v>
      </c>
      <c r="B2508" s="18" t="s">
        <v>80</v>
      </c>
      <c r="C2508" s="18">
        <v>0</v>
      </c>
      <c r="D2508" s="18">
        <v>0</v>
      </c>
      <c r="E2508" s="18">
        <v>0</v>
      </c>
    </row>
    <row r="2509" spans="1:5" x14ac:dyDescent="0.25">
      <c r="A2509" s="18">
        <v>1960</v>
      </c>
      <c r="B2509" s="18" t="s">
        <v>80</v>
      </c>
      <c r="C2509" s="18">
        <v>0</v>
      </c>
      <c r="D2509" s="18">
        <v>0</v>
      </c>
      <c r="E2509" s="18">
        <v>0</v>
      </c>
    </row>
    <row r="2510" spans="1:5" x14ac:dyDescent="0.25">
      <c r="A2510" s="18">
        <v>1961</v>
      </c>
      <c r="B2510" s="18" t="s">
        <v>80</v>
      </c>
      <c r="C2510" s="18">
        <v>0</v>
      </c>
      <c r="D2510" s="18">
        <v>0</v>
      </c>
      <c r="E2510" s="18">
        <v>0</v>
      </c>
    </row>
    <row r="2511" spans="1:5" x14ac:dyDescent="0.25">
      <c r="A2511" s="18">
        <v>1962</v>
      </c>
      <c r="B2511" s="18" t="s">
        <v>80</v>
      </c>
      <c r="C2511" s="18">
        <v>0</v>
      </c>
      <c r="D2511" s="18">
        <v>0</v>
      </c>
      <c r="E2511" s="18">
        <v>0</v>
      </c>
    </row>
    <row r="2512" spans="1:5" x14ac:dyDescent="0.25">
      <c r="A2512" s="18">
        <v>1963</v>
      </c>
      <c r="B2512" s="18" t="s">
        <v>80</v>
      </c>
      <c r="C2512" s="18">
        <v>0</v>
      </c>
      <c r="D2512" s="18">
        <v>0</v>
      </c>
      <c r="E2512" s="18">
        <v>0</v>
      </c>
    </row>
    <row r="2513" spans="1:5" x14ac:dyDescent="0.25">
      <c r="A2513" s="18">
        <v>1964</v>
      </c>
      <c r="B2513" s="18" t="s">
        <v>80</v>
      </c>
      <c r="C2513" s="18">
        <v>0</v>
      </c>
      <c r="D2513" s="18">
        <v>0</v>
      </c>
      <c r="E2513" s="18">
        <v>0</v>
      </c>
    </row>
    <row r="2514" spans="1:5" x14ac:dyDescent="0.25">
      <c r="A2514" s="18">
        <v>1965</v>
      </c>
      <c r="B2514" s="18" t="s">
        <v>80</v>
      </c>
      <c r="C2514" s="18">
        <v>0</v>
      </c>
      <c r="D2514" s="18">
        <v>0</v>
      </c>
      <c r="E2514" s="18">
        <v>0</v>
      </c>
    </row>
    <row r="2515" spans="1:5" x14ac:dyDescent="0.25">
      <c r="A2515" s="18">
        <v>1966</v>
      </c>
      <c r="B2515" s="18" t="s">
        <v>80</v>
      </c>
      <c r="C2515" s="18">
        <v>0</v>
      </c>
      <c r="D2515" s="18">
        <v>0</v>
      </c>
      <c r="E2515" s="18">
        <v>0</v>
      </c>
    </row>
    <row r="2516" spans="1:5" x14ac:dyDescent="0.25">
      <c r="A2516" s="18">
        <v>1967</v>
      </c>
      <c r="B2516" s="18" t="s">
        <v>80</v>
      </c>
      <c r="C2516" s="18">
        <v>0</v>
      </c>
      <c r="D2516" s="18">
        <v>0</v>
      </c>
      <c r="E2516" s="18">
        <v>0</v>
      </c>
    </row>
    <row r="2517" spans="1:5" x14ac:dyDescent="0.25">
      <c r="A2517" s="18">
        <v>1968</v>
      </c>
      <c r="B2517" s="18" t="s">
        <v>80</v>
      </c>
      <c r="C2517" s="18">
        <v>0</v>
      </c>
      <c r="D2517" s="18">
        <v>0</v>
      </c>
      <c r="E2517" s="18">
        <v>0</v>
      </c>
    </row>
    <row r="2518" spans="1:5" x14ac:dyDescent="0.25">
      <c r="A2518" s="18">
        <v>1969</v>
      </c>
      <c r="B2518" s="18" t="s">
        <v>80</v>
      </c>
      <c r="C2518" s="18">
        <v>0</v>
      </c>
      <c r="D2518" s="18">
        <v>0</v>
      </c>
      <c r="E2518" s="18">
        <v>0</v>
      </c>
    </row>
    <row r="2519" spans="1:5" x14ac:dyDescent="0.25">
      <c r="A2519" s="18">
        <v>1970</v>
      </c>
      <c r="B2519" s="18" t="s">
        <v>80</v>
      </c>
      <c r="C2519" s="18">
        <v>0</v>
      </c>
      <c r="D2519" s="18">
        <v>0</v>
      </c>
      <c r="E2519" s="18">
        <v>0</v>
      </c>
    </row>
    <row r="2520" spans="1:5" x14ac:dyDescent="0.25">
      <c r="A2520" s="18">
        <v>1971</v>
      </c>
      <c r="B2520" s="18" t="s">
        <v>80</v>
      </c>
      <c r="C2520" s="18">
        <v>0</v>
      </c>
      <c r="D2520" s="18">
        <v>0</v>
      </c>
      <c r="E2520" s="18">
        <v>0</v>
      </c>
    </row>
    <row r="2521" spans="1:5" x14ac:dyDescent="0.25">
      <c r="A2521" s="18">
        <v>1972</v>
      </c>
      <c r="B2521" s="18" t="s">
        <v>80</v>
      </c>
      <c r="C2521" s="18">
        <v>0</v>
      </c>
      <c r="D2521" s="18">
        <v>0</v>
      </c>
      <c r="E2521" s="18">
        <v>0</v>
      </c>
    </row>
    <row r="2522" spans="1:5" x14ac:dyDescent="0.25">
      <c r="A2522" s="18">
        <v>1973</v>
      </c>
      <c r="B2522" s="18" t="s">
        <v>80</v>
      </c>
      <c r="C2522" s="18">
        <v>0</v>
      </c>
      <c r="D2522" s="18">
        <v>0</v>
      </c>
      <c r="E2522" s="18">
        <v>0</v>
      </c>
    </row>
    <row r="2523" spans="1:5" x14ac:dyDescent="0.25">
      <c r="A2523" s="18">
        <v>1974</v>
      </c>
      <c r="B2523" s="18" t="s">
        <v>80</v>
      </c>
      <c r="C2523" s="18">
        <v>0</v>
      </c>
      <c r="D2523" s="18">
        <v>0</v>
      </c>
      <c r="E2523" s="18">
        <v>0</v>
      </c>
    </row>
    <row r="2524" spans="1:5" x14ac:dyDescent="0.25">
      <c r="A2524" s="18">
        <v>1975</v>
      </c>
      <c r="B2524" s="18" t="s">
        <v>80</v>
      </c>
      <c r="C2524" s="18">
        <v>3150</v>
      </c>
      <c r="D2524" s="18">
        <v>2868</v>
      </c>
      <c r="E2524" s="18">
        <v>6019</v>
      </c>
    </row>
    <row r="2525" spans="1:5" x14ac:dyDescent="0.25">
      <c r="A2525" s="18">
        <v>1976</v>
      </c>
      <c r="B2525" s="18" t="s">
        <v>80</v>
      </c>
      <c r="C2525" s="18">
        <v>0</v>
      </c>
      <c r="D2525" s="18">
        <v>0</v>
      </c>
      <c r="E2525" s="18">
        <v>0</v>
      </c>
    </row>
    <row r="2526" spans="1:5" x14ac:dyDescent="0.25">
      <c r="A2526" s="18">
        <v>1977</v>
      </c>
      <c r="B2526" s="18" t="s">
        <v>80</v>
      </c>
      <c r="C2526" s="18">
        <v>0</v>
      </c>
      <c r="D2526" s="18">
        <v>0</v>
      </c>
      <c r="E2526" s="18">
        <v>0</v>
      </c>
    </row>
    <row r="2527" spans="1:5" x14ac:dyDescent="0.25">
      <c r="A2527" s="18">
        <v>1978</v>
      </c>
      <c r="B2527" s="18" t="s">
        <v>80</v>
      </c>
      <c r="C2527" s="18">
        <v>0</v>
      </c>
      <c r="D2527" s="18">
        <v>0</v>
      </c>
      <c r="E2527" s="18">
        <v>0</v>
      </c>
    </row>
    <row r="2528" spans="1:5" x14ac:dyDescent="0.25">
      <c r="A2528" s="18">
        <v>1979</v>
      </c>
      <c r="B2528" s="18" t="s">
        <v>80</v>
      </c>
      <c r="C2528" s="18">
        <v>0</v>
      </c>
      <c r="D2528" s="18">
        <v>0</v>
      </c>
      <c r="E2528" s="18">
        <v>0</v>
      </c>
    </row>
    <row r="2529" spans="1:5" x14ac:dyDescent="0.25">
      <c r="A2529" s="18">
        <v>1980</v>
      </c>
      <c r="B2529" s="18" t="s">
        <v>80</v>
      </c>
      <c r="C2529" s="18">
        <v>2333</v>
      </c>
      <c r="D2529" s="18">
        <v>2525</v>
      </c>
      <c r="E2529" s="18">
        <v>4858</v>
      </c>
    </row>
    <row r="2530" spans="1:5" x14ac:dyDescent="0.25">
      <c r="A2530" s="18">
        <v>1981</v>
      </c>
      <c r="B2530" s="18" t="s">
        <v>80</v>
      </c>
      <c r="C2530" s="18">
        <v>0</v>
      </c>
      <c r="D2530" s="18">
        <v>0</v>
      </c>
      <c r="E2530" s="18">
        <v>0</v>
      </c>
    </row>
    <row r="2531" spans="1:5" x14ac:dyDescent="0.25">
      <c r="A2531" s="18">
        <v>1982</v>
      </c>
      <c r="B2531" s="18" t="s">
        <v>80</v>
      </c>
      <c r="C2531" s="18">
        <v>0</v>
      </c>
      <c r="D2531" s="18">
        <v>0</v>
      </c>
      <c r="E2531" s="18">
        <v>0</v>
      </c>
    </row>
    <row r="2532" spans="1:5" x14ac:dyDescent="0.25">
      <c r="A2532" s="18">
        <v>1983</v>
      </c>
      <c r="B2532" s="18" t="s">
        <v>80</v>
      </c>
      <c r="C2532" s="18">
        <v>0</v>
      </c>
      <c r="D2532" s="18">
        <v>0</v>
      </c>
      <c r="E2532" s="18">
        <v>0</v>
      </c>
    </row>
    <row r="2533" spans="1:5" x14ac:dyDescent="0.25">
      <c r="A2533" s="18">
        <v>1984</v>
      </c>
      <c r="B2533" s="18" t="s">
        <v>80</v>
      </c>
      <c r="C2533" s="18">
        <v>0</v>
      </c>
      <c r="D2533" s="18">
        <v>0</v>
      </c>
      <c r="E2533" s="18">
        <v>0</v>
      </c>
    </row>
    <row r="2534" spans="1:5" x14ac:dyDescent="0.25">
      <c r="A2534" s="18">
        <v>1985</v>
      </c>
      <c r="B2534" s="18" t="s">
        <v>80</v>
      </c>
      <c r="C2534" s="18">
        <v>2524</v>
      </c>
      <c r="D2534" s="18">
        <v>2637</v>
      </c>
      <c r="E2534" s="18">
        <v>5161</v>
      </c>
    </row>
    <row r="2535" spans="1:5" x14ac:dyDescent="0.25">
      <c r="A2535" s="18">
        <v>1986</v>
      </c>
      <c r="B2535" s="18" t="s">
        <v>80</v>
      </c>
      <c r="C2535" s="18">
        <v>0</v>
      </c>
      <c r="D2535" s="18">
        <v>0</v>
      </c>
      <c r="E2535" s="18">
        <v>0</v>
      </c>
    </row>
    <row r="2536" spans="1:5" x14ac:dyDescent="0.25">
      <c r="A2536" s="18">
        <v>1987</v>
      </c>
      <c r="B2536" s="18" t="s">
        <v>80</v>
      </c>
      <c r="C2536" s="18">
        <v>0</v>
      </c>
      <c r="D2536" s="18">
        <v>0</v>
      </c>
      <c r="E2536" s="18">
        <v>0</v>
      </c>
    </row>
    <row r="2537" spans="1:5" x14ac:dyDescent="0.25">
      <c r="A2537" s="18">
        <v>1988</v>
      </c>
      <c r="B2537" s="18" t="s">
        <v>80</v>
      </c>
      <c r="C2537" s="18">
        <v>0</v>
      </c>
      <c r="D2537" s="18">
        <v>0</v>
      </c>
      <c r="E2537" s="18">
        <v>0</v>
      </c>
    </row>
    <row r="2538" spans="1:5" x14ac:dyDescent="0.25">
      <c r="A2538" s="18">
        <v>1989</v>
      </c>
      <c r="B2538" s="18" t="s">
        <v>80</v>
      </c>
      <c r="C2538" s="18">
        <v>0</v>
      </c>
      <c r="D2538" s="18">
        <v>0</v>
      </c>
      <c r="E2538" s="18">
        <v>0</v>
      </c>
    </row>
    <row r="2539" spans="1:5" x14ac:dyDescent="0.25">
      <c r="A2539" s="18">
        <v>1990</v>
      </c>
      <c r="B2539" s="18" t="s">
        <v>80</v>
      </c>
      <c r="C2539" s="18">
        <v>2866</v>
      </c>
      <c r="D2539" s="18">
        <v>2946</v>
      </c>
      <c r="E2539" s="18">
        <v>5812</v>
      </c>
    </row>
    <row r="2540" spans="1:5" x14ac:dyDescent="0.25">
      <c r="A2540" s="18">
        <v>1991</v>
      </c>
      <c r="B2540" s="18" t="s">
        <v>80</v>
      </c>
      <c r="C2540" s="18">
        <v>0</v>
      </c>
      <c r="D2540" s="18">
        <v>0</v>
      </c>
      <c r="E2540" s="18">
        <v>0</v>
      </c>
    </row>
    <row r="2541" spans="1:5" x14ac:dyDescent="0.25">
      <c r="A2541" s="18">
        <v>1992</v>
      </c>
      <c r="B2541" s="18" t="s">
        <v>80</v>
      </c>
      <c r="C2541" s="18">
        <v>0</v>
      </c>
      <c r="D2541" s="18">
        <v>0</v>
      </c>
      <c r="E2541" s="18">
        <v>0</v>
      </c>
    </row>
    <row r="2542" spans="1:5" x14ac:dyDescent="0.25">
      <c r="A2542" s="18">
        <v>1993</v>
      </c>
      <c r="B2542" s="18" t="s">
        <v>80</v>
      </c>
      <c r="C2542" s="18">
        <v>0</v>
      </c>
      <c r="D2542" s="18">
        <v>0</v>
      </c>
      <c r="E2542" s="18">
        <v>0</v>
      </c>
    </row>
    <row r="2543" spans="1:5" x14ac:dyDescent="0.25">
      <c r="A2543" s="18">
        <v>1994</v>
      </c>
      <c r="B2543" s="18" t="s">
        <v>80</v>
      </c>
      <c r="C2543" s="18">
        <v>0</v>
      </c>
      <c r="D2543" s="18">
        <v>0</v>
      </c>
      <c r="E2543" s="18">
        <v>0</v>
      </c>
    </row>
    <row r="2544" spans="1:5" x14ac:dyDescent="0.25">
      <c r="A2544" s="18">
        <v>1995</v>
      </c>
      <c r="B2544" s="18" t="s">
        <v>80</v>
      </c>
      <c r="C2544" s="18">
        <v>0</v>
      </c>
      <c r="D2544" s="18">
        <v>0</v>
      </c>
      <c r="E2544" s="18">
        <v>0</v>
      </c>
    </row>
    <row r="2545" spans="1:5" x14ac:dyDescent="0.25">
      <c r="A2545" s="18">
        <v>1996</v>
      </c>
      <c r="B2545" s="18" t="s">
        <v>80</v>
      </c>
      <c r="C2545" s="18">
        <v>0</v>
      </c>
      <c r="D2545" s="18">
        <v>0</v>
      </c>
      <c r="E2545" s="18">
        <v>0</v>
      </c>
    </row>
    <row r="2546" spans="1:5" x14ac:dyDescent="0.25">
      <c r="A2546" s="18">
        <v>1997</v>
      </c>
      <c r="B2546" s="18" t="s">
        <v>80</v>
      </c>
      <c r="C2546" s="18">
        <v>0</v>
      </c>
      <c r="D2546" s="18">
        <v>0</v>
      </c>
      <c r="E2546" s="18">
        <v>0</v>
      </c>
    </row>
    <row r="2547" spans="1:5" x14ac:dyDescent="0.25">
      <c r="A2547" s="18">
        <v>1998</v>
      </c>
      <c r="B2547" s="18" t="s">
        <v>80</v>
      </c>
      <c r="C2547" s="18">
        <v>0</v>
      </c>
      <c r="D2547" s="18">
        <v>0</v>
      </c>
      <c r="E2547" s="18">
        <v>0</v>
      </c>
    </row>
    <row r="2548" spans="1:5" x14ac:dyDescent="0.25">
      <c r="A2548" s="18">
        <v>1999</v>
      </c>
      <c r="B2548" s="18" t="s">
        <v>80</v>
      </c>
      <c r="C2548" s="18">
        <v>0</v>
      </c>
      <c r="D2548" s="18">
        <v>0</v>
      </c>
      <c r="E2548" s="18">
        <v>0</v>
      </c>
    </row>
    <row r="2549" spans="1:5" x14ac:dyDescent="0.25">
      <c r="A2549" s="18">
        <v>2000</v>
      </c>
      <c r="B2549" s="18" t="s">
        <v>80</v>
      </c>
      <c r="C2549" s="18">
        <v>3653</v>
      </c>
      <c r="D2549" s="18">
        <v>3990</v>
      </c>
      <c r="E2549" s="18">
        <v>7643</v>
      </c>
    </row>
    <row r="2550" spans="1:5" x14ac:dyDescent="0.25">
      <c r="A2550" s="18">
        <v>2001</v>
      </c>
      <c r="B2550" s="18" t="s">
        <v>80</v>
      </c>
      <c r="C2550" s="18">
        <v>0</v>
      </c>
      <c r="D2550" s="18">
        <v>0</v>
      </c>
      <c r="E2550" s="18">
        <v>0</v>
      </c>
    </row>
    <row r="2551" spans="1:5" x14ac:dyDescent="0.25">
      <c r="A2551" s="18">
        <v>2002</v>
      </c>
      <c r="B2551" s="18" t="s">
        <v>80</v>
      </c>
      <c r="C2551" s="18">
        <v>0</v>
      </c>
      <c r="D2551" s="18">
        <v>0</v>
      </c>
      <c r="E2551" s="18">
        <v>0</v>
      </c>
    </row>
    <row r="2552" spans="1:5" x14ac:dyDescent="0.25">
      <c r="A2552" s="18">
        <v>2003</v>
      </c>
      <c r="B2552" s="18" t="s">
        <v>80</v>
      </c>
      <c r="C2552" s="18">
        <v>0</v>
      </c>
      <c r="D2552" s="18">
        <v>0</v>
      </c>
      <c r="E2552" s="18">
        <v>0</v>
      </c>
    </row>
    <row r="2553" spans="1:5" x14ac:dyDescent="0.25">
      <c r="A2553" s="18">
        <v>2004</v>
      </c>
      <c r="B2553" s="18" t="s">
        <v>80</v>
      </c>
      <c r="C2553" s="18">
        <v>0</v>
      </c>
      <c r="D2553" s="18">
        <v>0</v>
      </c>
      <c r="E2553" s="18">
        <v>0</v>
      </c>
    </row>
    <row r="2554" spans="1:5" x14ac:dyDescent="0.25">
      <c r="A2554" s="18">
        <v>2005</v>
      </c>
      <c r="B2554" s="18" t="s">
        <v>80</v>
      </c>
      <c r="C2554" s="18">
        <v>0</v>
      </c>
      <c r="D2554" s="18">
        <v>0</v>
      </c>
      <c r="E2554" s="18">
        <v>0</v>
      </c>
    </row>
    <row r="2555" spans="1:5" x14ac:dyDescent="0.25">
      <c r="A2555" s="18">
        <v>2006</v>
      </c>
      <c r="B2555" s="18" t="s">
        <v>80</v>
      </c>
      <c r="C2555" s="18">
        <v>0</v>
      </c>
      <c r="D2555" s="18">
        <v>0</v>
      </c>
      <c r="E2555" s="18">
        <v>0</v>
      </c>
    </row>
    <row r="2556" spans="1:5" x14ac:dyDescent="0.25">
      <c r="A2556" s="18">
        <v>2007</v>
      </c>
      <c r="B2556" s="18" t="s">
        <v>80</v>
      </c>
      <c r="C2556" s="18">
        <v>0</v>
      </c>
      <c r="D2556" s="18">
        <v>0</v>
      </c>
      <c r="E2556" s="18">
        <v>0</v>
      </c>
    </row>
    <row r="2557" spans="1:5" x14ac:dyDescent="0.25">
      <c r="A2557" s="18">
        <v>2008</v>
      </c>
      <c r="B2557" s="18" t="s">
        <v>80</v>
      </c>
      <c r="C2557" s="18">
        <v>0</v>
      </c>
      <c r="D2557" s="18">
        <v>0</v>
      </c>
      <c r="E2557" s="18">
        <v>0</v>
      </c>
    </row>
    <row r="2558" spans="1:5" x14ac:dyDescent="0.25">
      <c r="A2558" s="18">
        <v>1950</v>
      </c>
      <c r="B2558" s="18" t="s">
        <v>81</v>
      </c>
      <c r="C2558" s="18">
        <v>0</v>
      </c>
      <c r="D2558" s="18">
        <v>0</v>
      </c>
      <c r="E2558" s="18">
        <v>0</v>
      </c>
    </row>
    <row r="2559" spans="1:5" x14ac:dyDescent="0.25">
      <c r="A2559" s="18">
        <v>1951</v>
      </c>
      <c r="B2559" s="18" t="s">
        <v>81</v>
      </c>
      <c r="C2559" s="18">
        <v>0</v>
      </c>
      <c r="D2559" s="18">
        <v>0</v>
      </c>
      <c r="E2559" s="18">
        <v>0</v>
      </c>
    </row>
    <row r="2560" spans="1:5" x14ac:dyDescent="0.25">
      <c r="A2560" s="18">
        <v>1952</v>
      </c>
      <c r="B2560" s="18" t="s">
        <v>81</v>
      </c>
      <c r="C2560" s="18">
        <v>0</v>
      </c>
      <c r="D2560" s="18">
        <v>0</v>
      </c>
      <c r="E2560" s="18">
        <v>0</v>
      </c>
    </row>
    <row r="2561" spans="1:5" x14ac:dyDescent="0.25">
      <c r="A2561" s="18">
        <v>1953</v>
      </c>
      <c r="B2561" s="18" t="s">
        <v>81</v>
      </c>
      <c r="C2561" s="18">
        <v>0</v>
      </c>
      <c r="D2561" s="18">
        <v>0</v>
      </c>
      <c r="E2561" s="18">
        <v>0</v>
      </c>
    </row>
    <row r="2562" spans="1:5" x14ac:dyDescent="0.25">
      <c r="A2562" s="18">
        <v>1954</v>
      </c>
      <c r="B2562" s="18" t="s">
        <v>81</v>
      </c>
      <c r="C2562" s="18">
        <v>0</v>
      </c>
      <c r="D2562" s="18">
        <v>0</v>
      </c>
      <c r="E2562" s="18">
        <v>0</v>
      </c>
    </row>
    <row r="2563" spans="1:5" x14ac:dyDescent="0.25">
      <c r="A2563" s="18">
        <v>1955</v>
      </c>
      <c r="B2563" s="18" t="s">
        <v>81</v>
      </c>
      <c r="C2563" s="18">
        <v>0</v>
      </c>
      <c r="D2563" s="18">
        <v>0</v>
      </c>
      <c r="E2563" s="18">
        <v>0</v>
      </c>
    </row>
    <row r="2564" spans="1:5" x14ac:dyDescent="0.25">
      <c r="A2564" s="18">
        <v>1956</v>
      </c>
      <c r="B2564" s="18" t="s">
        <v>81</v>
      </c>
      <c r="C2564" s="18">
        <v>0</v>
      </c>
      <c r="D2564" s="18">
        <v>0</v>
      </c>
      <c r="E2564" s="18">
        <v>0</v>
      </c>
    </row>
    <row r="2565" spans="1:5" x14ac:dyDescent="0.25">
      <c r="A2565" s="18">
        <v>1957</v>
      </c>
      <c r="B2565" s="18" t="s">
        <v>81</v>
      </c>
      <c r="C2565" s="18">
        <v>0</v>
      </c>
      <c r="D2565" s="18">
        <v>0</v>
      </c>
      <c r="E2565" s="18">
        <v>0</v>
      </c>
    </row>
    <row r="2566" spans="1:5" x14ac:dyDescent="0.25">
      <c r="A2566" s="18">
        <v>1958</v>
      </c>
      <c r="B2566" s="18" t="s">
        <v>81</v>
      </c>
      <c r="C2566" s="18">
        <v>0</v>
      </c>
      <c r="D2566" s="18">
        <v>0</v>
      </c>
      <c r="E2566" s="18">
        <v>0</v>
      </c>
    </row>
    <row r="2567" spans="1:5" x14ac:dyDescent="0.25">
      <c r="A2567" s="18">
        <v>1959</v>
      </c>
      <c r="B2567" s="18" t="s">
        <v>81</v>
      </c>
      <c r="C2567" s="18">
        <v>0</v>
      </c>
      <c r="D2567" s="18">
        <v>0</v>
      </c>
      <c r="E2567" s="18">
        <v>0</v>
      </c>
    </row>
    <row r="2568" spans="1:5" x14ac:dyDescent="0.25">
      <c r="A2568" s="18">
        <v>1960</v>
      </c>
      <c r="B2568" s="18" t="s">
        <v>81</v>
      </c>
      <c r="C2568" s="18">
        <v>0</v>
      </c>
      <c r="D2568" s="18">
        <v>0</v>
      </c>
      <c r="E2568" s="18">
        <v>0</v>
      </c>
    </row>
    <row r="2569" spans="1:5" x14ac:dyDescent="0.25">
      <c r="A2569" s="18">
        <v>1961</v>
      </c>
      <c r="B2569" s="18" t="s">
        <v>81</v>
      </c>
      <c r="C2569" s="18">
        <v>0</v>
      </c>
      <c r="D2569" s="18">
        <v>0</v>
      </c>
      <c r="E2569" s="18">
        <v>0</v>
      </c>
    </row>
    <row r="2570" spans="1:5" x14ac:dyDescent="0.25">
      <c r="A2570" s="18">
        <v>1962</v>
      </c>
      <c r="B2570" s="18" t="s">
        <v>81</v>
      </c>
      <c r="C2570" s="18">
        <v>0</v>
      </c>
      <c r="D2570" s="18">
        <v>0</v>
      </c>
      <c r="E2570" s="18">
        <v>0</v>
      </c>
    </row>
    <row r="2571" spans="1:5" x14ac:dyDescent="0.25">
      <c r="A2571" s="18">
        <v>1963</v>
      </c>
      <c r="B2571" s="18" t="s">
        <v>81</v>
      </c>
      <c r="C2571" s="18">
        <v>0</v>
      </c>
      <c r="D2571" s="18">
        <v>0</v>
      </c>
      <c r="E2571" s="18">
        <v>0</v>
      </c>
    </row>
    <row r="2572" spans="1:5" x14ac:dyDescent="0.25">
      <c r="A2572" s="18">
        <v>1964</v>
      </c>
      <c r="B2572" s="18" t="s">
        <v>81</v>
      </c>
      <c r="C2572" s="18">
        <v>0</v>
      </c>
      <c r="D2572" s="18">
        <v>0</v>
      </c>
      <c r="E2572" s="18">
        <v>0</v>
      </c>
    </row>
    <row r="2573" spans="1:5" x14ac:dyDescent="0.25">
      <c r="A2573" s="18">
        <v>1965</v>
      </c>
      <c r="B2573" s="18" t="s">
        <v>81</v>
      </c>
      <c r="C2573" s="18">
        <v>0</v>
      </c>
      <c r="D2573" s="18">
        <v>0</v>
      </c>
      <c r="E2573" s="18">
        <v>0</v>
      </c>
    </row>
    <row r="2574" spans="1:5" x14ac:dyDescent="0.25">
      <c r="A2574" s="18">
        <v>1966</v>
      </c>
      <c r="B2574" s="18" t="s">
        <v>81</v>
      </c>
      <c r="C2574" s="18">
        <v>0</v>
      </c>
      <c r="D2574" s="18">
        <v>0</v>
      </c>
      <c r="E2574" s="18">
        <v>0</v>
      </c>
    </row>
    <row r="2575" spans="1:5" x14ac:dyDescent="0.25">
      <c r="A2575" s="18">
        <v>1967</v>
      </c>
      <c r="B2575" s="18" t="s">
        <v>81</v>
      </c>
      <c r="C2575" s="18">
        <v>0</v>
      </c>
      <c r="D2575" s="18">
        <v>0</v>
      </c>
      <c r="E2575" s="18">
        <v>0</v>
      </c>
    </row>
    <row r="2576" spans="1:5" x14ac:dyDescent="0.25">
      <c r="A2576" s="18">
        <v>1968</v>
      </c>
      <c r="B2576" s="18" t="s">
        <v>81</v>
      </c>
      <c r="C2576" s="18">
        <v>0</v>
      </c>
      <c r="D2576" s="18">
        <v>0</v>
      </c>
      <c r="E2576" s="18">
        <v>0</v>
      </c>
    </row>
    <row r="2577" spans="1:5" x14ac:dyDescent="0.25">
      <c r="A2577" s="18">
        <v>1969</v>
      </c>
      <c r="B2577" s="18" t="s">
        <v>81</v>
      </c>
      <c r="C2577" s="18">
        <v>0</v>
      </c>
      <c r="D2577" s="18">
        <v>0</v>
      </c>
      <c r="E2577" s="18">
        <v>0</v>
      </c>
    </row>
    <row r="2578" spans="1:5" x14ac:dyDescent="0.25">
      <c r="A2578" s="18">
        <v>1970</v>
      </c>
      <c r="B2578" s="18" t="s">
        <v>81</v>
      </c>
      <c r="C2578" s="18">
        <v>0</v>
      </c>
      <c r="D2578" s="18">
        <v>0</v>
      </c>
      <c r="E2578" s="18">
        <v>0</v>
      </c>
    </row>
    <row r="2579" spans="1:5" x14ac:dyDescent="0.25">
      <c r="A2579" s="18">
        <v>1971</v>
      </c>
      <c r="B2579" s="18" t="s">
        <v>81</v>
      </c>
      <c r="C2579" s="18">
        <v>0</v>
      </c>
      <c r="D2579" s="18">
        <v>0</v>
      </c>
      <c r="E2579" s="18">
        <v>0</v>
      </c>
    </row>
    <row r="2580" spans="1:5" x14ac:dyDescent="0.25">
      <c r="A2580" s="18">
        <v>1972</v>
      </c>
      <c r="B2580" s="18" t="s">
        <v>81</v>
      </c>
      <c r="C2580" s="18">
        <v>0</v>
      </c>
      <c r="D2580" s="18">
        <v>0</v>
      </c>
      <c r="E2580" s="18">
        <v>0</v>
      </c>
    </row>
    <row r="2581" spans="1:5" x14ac:dyDescent="0.25">
      <c r="A2581" s="18">
        <v>1973</v>
      </c>
      <c r="B2581" s="18" t="s">
        <v>81</v>
      </c>
      <c r="C2581" s="18">
        <v>0</v>
      </c>
      <c r="D2581" s="18">
        <v>0</v>
      </c>
      <c r="E2581" s="18">
        <v>0</v>
      </c>
    </row>
    <row r="2582" spans="1:5" x14ac:dyDescent="0.25">
      <c r="A2582" s="18">
        <v>1974</v>
      </c>
      <c r="B2582" s="18" t="s">
        <v>81</v>
      </c>
      <c r="C2582" s="18">
        <v>0</v>
      </c>
      <c r="D2582" s="18">
        <v>0</v>
      </c>
      <c r="E2582" s="18">
        <v>0</v>
      </c>
    </row>
    <row r="2583" spans="1:5" x14ac:dyDescent="0.25">
      <c r="A2583" s="18">
        <v>1975</v>
      </c>
      <c r="B2583" s="18" t="s">
        <v>81</v>
      </c>
      <c r="C2583" s="18">
        <v>2413</v>
      </c>
      <c r="D2583" s="18">
        <v>2369</v>
      </c>
      <c r="E2583" s="18">
        <v>4775</v>
      </c>
    </row>
    <row r="2584" spans="1:5" x14ac:dyDescent="0.25">
      <c r="A2584" s="18">
        <v>1976</v>
      </c>
      <c r="B2584" s="18" t="s">
        <v>81</v>
      </c>
      <c r="C2584" s="18">
        <v>0</v>
      </c>
      <c r="D2584" s="18">
        <v>0</v>
      </c>
      <c r="E2584" s="18">
        <v>0</v>
      </c>
    </row>
    <row r="2585" spans="1:5" x14ac:dyDescent="0.25">
      <c r="A2585" s="18">
        <v>1977</v>
      </c>
      <c r="B2585" s="18" t="s">
        <v>81</v>
      </c>
      <c r="C2585" s="18">
        <v>0</v>
      </c>
      <c r="D2585" s="18">
        <v>0</v>
      </c>
      <c r="E2585" s="18">
        <v>0</v>
      </c>
    </row>
    <row r="2586" spans="1:5" x14ac:dyDescent="0.25">
      <c r="A2586" s="18">
        <v>1978</v>
      </c>
      <c r="B2586" s="18" t="s">
        <v>81</v>
      </c>
      <c r="C2586" s="18">
        <v>0</v>
      </c>
      <c r="D2586" s="18">
        <v>0</v>
      </c>
      <c r="E2586" s="18">
        <v>0</v>
      </c>
    </row>
    <row r="2587" spans="1:5" x14ac:dyDescent="0.25">
      <c r="A2587" s="18">
        <v>1979</v>
      </c>
      <c r="B2587" s="18" t="s">
        <v>81</v>
      </c>
      <c r="C2587" s="18">
        <v>0</v>
      </c>
      <c r="D2587" s="18">
        <v>0</v>
      </c>
      <c r="E2587" s="18">
        <v>0</v>
      </c>
    </row>
    <row r="2588" spans="1:5" x14ac:dyDescent="0.25">
      <c r="A2588" s="18">
        <v>1980</v>
      </c>
      <c r="B2588" s="18" t="s">
        <v>81</v>
      </c>
      <c r="C2588" s="18">
        <v>1891</v>
      </c>
      <c r="D2588" s="18">
        <v>2001</v>
      </c>
      <c r="E2588" s="18">
        <v>3893</v>
      </c>
    </row>
    <row r="2589" spans="1:5" x14ac:dyDescent="0.25">
      <c r="A2589" s="18">
        <v>1981</v>
      </c>
      <c r="B2589" s="18" t="s">
        <v>81</v>
      </c>
      <c r="C2589" s="18">
        <v>0</v>
      </c>
      <c r="D2589" s="18">
        <v>0</v>
      </c>
      <c r="E2589" s="18">
        <v>0</v>
      </c>
    </row>
    <row r="2590" spans="1:5" x14ac:dyDescent="0.25">
      <c r="A2590" s="18">
        <v>1982</v>
      </c>
      <c r="B2590" s="18" t="s">
        <v>81</v>
      </c>
      <c r="C2590" s="18">
        <v>0</v>
      </c>
      <c r="D2590" s="18">
        <v>0</v>
      </c>
      <c r="E2590" s="18">
        <v>0</v>
      </c>
    </row>
    <row r="2591" spans="1:5" x14ac:dyDescent="0.25">
      <c r="A2591" s="18">
        <v>1983</v>
      </c>
      <c r="B2591" s="18" t="s">
        <v>81</v>
      </c>
      <c r="C2591" s="18">
        <v>0</v>
      </c>
      <c r="D2591" s="18">
        <v>0</v>
      </c>
      <c r="E2591" s="18">
        <v>0</v>
      </c>
    </row>
    <row r="2592" spans="1:5" x14ac:dyDescent="0.25">
      <c r="A2592" s="18">
        <v>1984</v>
      </c>
      <c r="B2592" s="18" t="s">
        <v>81</v>
      </c>
      <c r="C2592" s="18">
        <v>0</v>
      </c>
      <c r="D2592" s="18">
        <v>0</v>
      </c>
      <c r="E2592" s="18">
        <v>0</v>
      </c>
    </row>
    <row r="2593" spans="1:5" x14ac:dyDescent="0.25">
      <c r="A2593" s="18">
        <v>1985</v>
      </c>
      <c r="B2593" s="18" t="s">
        <v>81</v>
      </c>
      <c r="C2593" s="18">
        <v>2187</v>
      </c>
      <c r="D2593" s="18">
        <v>2241</v>
      </c>
      <c r="E2593" s="18">
        <v>4428</v>
      </c>
    </row>
    <row r="2594" spans="1:5" x14ac:dyDescent="0.25">
      <c r="A2594" s="18">
        <v>1986</v>
      </c>
      <c r="B2594" s="18" t="s">
        <v>81</v>
      </c>
      <c r="C2594" s="18">
        <v>0</v>
      </c>
      <c r="D2594" s="18">
        <v>0</v>
      </c>
      <c r="E2594" s="18">
        <v>0</v>
      </c>
    </row>
    <row r="2595" spans="1:5" x14ac:dyDescent="0.25">
      <c r="A2595" s="18">
        <v>1987</v>
      </c>
      <c r="B2595" s="18" t="s">
        <v>81</v>
      </c>
      <c r="C2595" s="18">
        <v>0</v>
      </c>
      <c r="D2595" s="18">
        <v>0</v>
      </c>
      <c r="E2595" s="18">
        <v>0</v>
      </c>
    </row>
    <row r="2596" spans="1:5" x14ac:dyDescent="0.25">
      <c r="A2596" s="18">
        <v>1988</v>
      </c>
      <c r="B2596" s="18" t="s">
        <v>81</v>
      </c>
      <c r="C2596" s="18">
        <v>0</v>
      </c>
      <c r="D2596" s="18">
        <v>0</v>
      </c>
      <c r="E2596" s="18">
        <v>0</v>
      </c>
    </row>
    <row r="2597" spans="1:5" x14ac:dyDescent="0.25">
      <c r="A2597" s="18">
        <v>1989</v>
      </c>
      <c r="B2597" s="18" t="s">
        <v>81</v>
      </c>
      <c r="C2597" s="18">
        <v>0</v>
      </c>
      <c r="D2597" s="18">
        <v>0</v>
      </c>
      <c r="E2597" s="18">
        <v>0</v>
      </c>
    </row>
    <row r="2598" spans="1:5" x14ac:dyDescent="0.25">
      <c r="A2598" s="18">
        <v>1990</v>
      </c>
      <c r="B2598" s="18" t="s">
        <v>81</v>
      </c>
      <c r="C2598" s="18">
        <v>2402</v>
      </c>
      <c r="D2598" s="18">
        <v>2641</v>
      </c>
      <c r="E2598" s="18">
        <v>5042</v>
      </c>
    </row>
    <row r="2599" spans="1:5" x14ac:dyDescent="0.25">
      <c r="A2599" s="18">
        <v>1991</v>
      </c>
      <c r="B2599" s="18" t="s">
        <v>81</v>
      </c>
      <c r="C2599" s="18">
        <v>0</v>
      </c>
      <c r="D2599" s="18">
        <v>0</v>
      </c>
      <c r="E2599" s="18">
        <v>0</v>
      </c>
    </row>
    <row r="2600" spans="1:5" x14ac:dyDescent="0.25">
      <c r="A2600" s="18">
        <v>1992</v>
      </c>
      <c r="B2600" s="18" t="s">
        <v>81</v>
      </c>
      <c r="C2600" s="18">
        <v>0</v>
      </c>
      <c r="D2600" s="18">
        <v>0</v>
      </c>
      <c r="E2600" s="18">
        <v>0</v>
      </c>
    </row>
    <row r="2601" spans="1:5" x14ac:dyDescent="0.25">
      <c r="A2601" s="18">
        <v>1993</v>
      </c>
      <c r="B2601" s="18" t="s">
        <v>81</v>
      </c>
      <c r="C2601" s="18">
        <v>0</v>
      </c>
      <c r="D2601" s="18">
        <v>0</v>
      </c>
      <c r="E2601" s="18">
        <v>0</v>
      </c>
    </row>
    <row r="2602" spans="1:5" x14ac:dyDescent="0.25">
      <c r="A2602" s="18">
        <v>1994</v>
      </c>
      <c r="B2602" s="18" t="s">
        <v>81</v>
      </c>
      <c r="C2602" s="18">
        <v>0</v>
      </c>
      <c r="D2602" s="18">
        <v>0</v>
      </c>
      <c r="E2602" s="18">
        <v>0</v>
      </c>
    </row>
    <row r="2603" spans="1:5" x14ac:dyDescent="0.25">
      <c r="A2603" s="18">
        <v>1995</v>
      </c>
      <c r="B2603" s="18" t="s">
        <v>81</v>
      </c>
      <c r="C2603" s="18">
        <v>0</v>
      </c>
      <c r="D2603" s="18">
        <v>0</v>
      </c>
      <c r="E2603" s="18">
        <v>0</v>
      </c>
    </row>
    <row r="2604" spans="1:5" x14ac:dyDescent="0.25">
      <c r="A2604" s="18">
        <v>1996</v>
      </c>
      <c r="B2604" s="18" t="s">
        <v>81</v>
      </c>
      <c r="C2604" s="18">
        <v>0</v>
      </c>
      <c r="D2604" s="18">
        <v>0</v>
      </c>
      <c r="E2604" s="18">
        <v>0</v>
      </c>
    </row>
    <row r="2605" spans="1:5" x14ac:dyDescent="0.25">
      <c r="A2605" s="18">
        <v>1997</v>
      </c>
      <c r="B2605" s="18" t="s">
        <v>81</v>
      </c>
      <c r="C2605" s="18">
        <v>0</v>
      </c>
      <c r="D2605" s="18">
        <v>0</v>
      </c>
      <c r="E2605" s="18">
        <v>0</v>
      </c>
    </row>
    <row r="2606" spans="1:5" x14ac:dyDescent="0.25">
      <c r="A2606" s="18">
        <v>1998</v>
      </c>
      <c r="B2606" s="18" t="s">
        <v>81</v>
      </c>
      <c r="C2606" s="18">
        <v>0</v>
      </c>
      <c r="D2606" s="18">
        <v>0</v>
      </c>
      <c r="E2606" s="18">
        <v>0</v>
      </c>
    </row>
    <row r="2607" spans="1:5" x14ac:dyDescent="0.25">
      <c r="A2607" s="18">
        <v>1999</v>
      </c>
      <c r="B2607" s="18" t="s">
        <v>81</v>
      </c>
      <c r="C2607" s="18">
        <v>0</v>
      </c>
      <c r="D2607" s="18">
        <v>0</v>
      </c>
      <c r="E2607" s="18">
        <v>0</v>
      </c>
    </row>
    <row r="2608" spans="1:5" x14ac:dyDescent="0.25">
      <c r="A2608" s="18">
        <v>2000</v>
      </c>
      <c r="B2608" s="18" t="s">
        <v>81</v>
      </c>
      <c r="C2608" s="18">
        <v>3714</v>
      </c>
      <c r="D2608" s="18">
        <v>3813</v>
      </c>
      <c r="E2608" s="18">
        <v>7527</v>
      </c>
    </row>
    <row r="2609" spans="1:5" x14ac:dyDescent="0.25">
      <c r="A2609" s="18">
        <v>2001</v>
      </c>
      <c r="B2609" s="18" t="s">
        <v>81</v>
      </c>
      <c r="C2609" s="18">
        <v>0</v>
      </c>
      <c r="D2609" s="18">
        <v>0</v>
      </c>
      <c r="E2609" s="18">
        <v>0</v>
      </c>
    </row>
    <row r="2610" spans="1:5" x14ac:dyDescent="0.25">
      <c r="A2610" s="18">
        <v>2002</v>
      </c>
      <c r="B2610" s="18" t="s">
        <v>81</v>
      </c>
      <c r="C2610" s="18">
        <v>0</v>
      </c>
      <c r="D2610" s="18">
        <v>0</v>
      </c>
      <c r="E2610" s="18">
        <v>0</v>
      </c>
    </row>
    <row r="2611" spans="1:5" x14ac:dyDescent="0.25">
      <c r="A2611" s="18">
        <v>2003</v>
      </c>
      <c r="B2611" s="18" t="s">
        <v>81</v>
      </c>
      <c r="C2611" s="18">
        <v>0</v>
      </c>
      <c r="D2611" s="18">
        <v>0</v>
      </c>
      <c r="E2611" s="18">
        <v>0</v>
      </c>
    </row>
    <row r="2612" spans="1:5" x14ac:dyDescent="0.25">
      <c r="A2612" s="18">
        <v>2004</v>
      </c>
      <c r="B2612" s="18" t="s">
        <v>81</v>
      </c>
      <c r="C2612" s="18">
        <v>0</v>
      </c>
      <c r="D2612" s="18">
        <v>0</v>
      </c>
      <c r="E2612" s="18">
        <v>0</v>
      </c>
    </row>
    <row r="2613" spans="1:5" x14ac:dyDescent="0.25">
      <c r="A2613" s="18">
        <v>2005</v>
      </c>
      <c r="B2613" s="18" t="s">
        <v>81</v>
      </c>
      <c r="C2613" s="18">
        <v>0</v>
      </c>
      <c r="D2613" s="18">
        <v>0</v>
      </c>
      <c r="E2613" s="18">
        <v>0</v>
      </c>
    </row>
    <row r="2614" spans="1:5" x14ac:dyDescent="0.25">
      <c r="A2614" s="18">
        <v>2006</v>
      </c>
      <c r="B2614" s="18" t="s">
        <v>81</v>
      </c>
      <c r="C2614" s="18">
        <v>0</v>
      </c>
      <c r="D2614" s="18">
        <v>0</v>
      </c>
      <c r="E2614" s="18">
        <v>0</v>
      </c>
    </row>
    <row r="2615" spans="1:5" x14ac:dyDescent="0.25">
      <c r="A2615" s="18">
        <v>2007</v>
      </c>
      <c r="B2615" s="18" t="s">
        <v>81</v>
      </c>
      <c r="C2615" s="18">
        <v>0</v>
      </c>
      <c r="D2615" s="18">
        <v>0</v>
      </c>
      <c r="E2615" s="18">
        <v>0</v>
      </c>
    </row>
    <row r="2616" spans="1:5" x14ac:dyDescent="0.25">
      <c r="A2616" s="18">
        <v>2008</v>
      </c>
      <c r="B2616" s="18" t="s">
        <v>81</v>
      </c>
      <c r="C2616" s="18">
        <v>0</v>
      </c>
      <c r="D2616" s="18">
        <v>0</v>
      </c>
      <c r="E2616" s="18">
        <v>0</v>
      </c>
    </row>
    <row r="2617" spans="1:5" x14ac:dyDescent="0.25">
      <c r="A2617" s="18">
        <v>1950</v>
      </c>
      <c r="B2617" s="18" t="s">
        <v>82</v>
      </c>
      <c r="C2617" s="18">
        <v>0</v>
      </c>
      <c r="D2617" s="18">
        <v>0</v>
      </c>
      <c r="E2617" s="18">
        <v>0</v>
      </c>
    </row>
    <row r="2618" spans="1:5" x14ac:dyDescent="0.25">
      <c r="A2618" s="18">
        <v>1951</v>
      </c>
      <c r="B2618" s="18" t="s">
        <v>82</v>
      </c>
      <c r="C2618" s="18">
        <v>0</v>
      </c>
      <c r="D2618" s="18">
        <v>0</v>
      </c>
      <c r="E2618" s="18">
        <v>0</v>
      </c>
    </row>
    <row r="2619" spans="1:5" x14ac:dyDescent="0.25">
      <c r="A2619" s="18">
        <v>1952</v>
      </c>
      <c r="B2619" s="18" t="s">
        <v>82</v>
      </c>
      <c r="C2619" s="18">
        <v>0</v>
      </c>
      <c r="D2619" s="18">
        <v>0</v>
      </c>
      <c r="E2619" s="18">
        <v>0</v>
      </c>
    </row>
    <row r="2620" spans="1:5" x14ac:dyDescent="0.25">
      <c r="A2620" s="18">
        <v>1953</v>
      </c>
      <c r="B2620" s="18" t="s">
        <v>82</v>
      </c>
      <c r="C2620" s="18">
        <v>0</v>
      </c>
      <c r="D2620" s="18">
        <v>0</v>
      </c>
      <c r="E2620" s="18">
        <v>0</v>
      </c>
    </row>
    <row r="2621" spans="1:5" x14ac:dyDescent="0.25">
      <c r="A2621" s="18">
        <v>1954</v>
      </c>
      <c r="B2621" s="18" t="s">
        <v>82</v>
      </c>
      <c r="C2621" s="18">
        <v>0</v>
      </c>
      <c r="D2621" s="18">
        <v>0</v>
      </c>
      <c r="E2621" s="18">
        <v>0</v>
      </c>
    </row>
    <row r="2622" spans="1:5" x14ac:dyDescent="0.25">
      <c r="A2622" s="18">
        <v>1955</v>
      </c>
      <c r="B2622" s="18" t="s">
        <v>82</v>
      </c>
      <c r="C2622" s="18">
        <v>0</v>
      </c>
      <c r="D2622" s="18">
        <v>0</v>
      </c>
      <c r="E2622" s="18">
        <v>0</v>
      </c>
    </row>
    <row r="2623" spans="1:5" x14ac:dyDescent="0.25">
      <c r="A2623" s="18">
        <v>1956</v>
      </c>
      <c r="B2623" s="18" t="s">
        <v>82</v>
      </c>
      <c r="C2623" s="18">
        <v>0</v>
      </c>
      <c r="D2623" s="18">
        <v>0</v>
      </c>
      <c r="E2623" s="18">
        <v>0</v>
      </c>
    </row>
    <row r="2624" spans="1:5" x14ac:dyDescent="0.25">
      <c r="A2624" s="18">
        <v>1957</v>
      </c>
      <c r="B2624" s="18" t="s">
        <v>82</v>
      </c>
      <c r="C2624" s="18">
        <v>0</v>
      </c>
      <c r="D2624" s="18">
        <v>0</v>
      </c>
      <c r="E2624" s="18">
        <v>0</v>
      </c>
    </row>
    <row r="2625" spans="1:5" x14ac:dyDescent="0.25">
      <c r="A2625" s="18">
        <v>1958</v>
      </c>
      <c r="B2625" s="18" t="s">
        <v>82</v>
      </c>
      <c r="C2625" s="18">
        <v>0</v>
      </c>
      <c r="D2625" s="18">
        <v>0</v>
      </c>
      <c r="E2625" s="18">
        <v>0</v>
      </c>
    </row>
    <row r="2626" spans="1:5" x14ac:dyDescent="0.25">
      <c r="A2626" s="18">
        <v>1959</v>
      </c>
      <c r="B2626" s="18" t="s">
        <v>82</v>
      </c>
      <c r="C2626" s="18">
        <v>0</v>
      </c>
      <c r="D2626" s="18">
        <v>0</v>
      </c>
      <c r="E2626" s="18">
        <v>0</v>
      </c>
    </row>
    <row r="2627" spans="1:5" x14ac:dyDescent="0.25">
      <c r="A2627" s="18">
        <v>1960</v>
      </c>
      <c r="B2627" s="18" t="s">
        <v>82</v>
      </c>
      <c r="C2627" s="18">
        <v>0</v>
      </c>
      <c r="D2627" s="18">
        <v>0</v>
      </c>
      <c r="E2627" s="18">
        <v>0</v>
      </c>
    </row>
    <row r="2628" spans="1:5" x14ac:dyDescent="0.25">
      <c r="A2628" s="18">
        <v>1961</v>
      </c>
      <c r="B2628" s="18" t="s">
        <v>82</v>
      </c>
      <c r="C2628" s="18">
        <v>0</v>
      </c>
      <c r="D2628" s="18">
        <v>0</v>
      </c>
      <c r="E2628" s="18">
        <v>0</v>
      </c>
    </row>
    <row r="2629" spans="1:5" x14ac:dyDescent="0.25">
      <c r="A2629" s="18">
        <v>1962</v>
      </c>
      <c r="B2629" s="18" t="s">
        <v>82</v>
      </c>
      <c r="C2629" s="18">
        <v>0</v>
      </c>
      <c r="D2629" s="18">
        <v>0</v>
      </c>
      <c r="E2629" s="18">
        <v>0</v>
      </c>
    </row>
    <row r="2630" spans="1:5" x14ac:dyDescent="0.25">
      <c r="A2630" s="18">
        <v>1963</v>
      </c>
      <c r="B2630" s="18" t="s">
        <v>82</v>
      </c>
      <c r="C2630" s="18">
        <v>0</v>
      </c>
      <c r="D2630" s="18">
        <v>0</v>
      </c>
      <c r="E2630" s="18">
        <v>0</v>
      </c>
    </row>
    <row r="2631" spans="1:5" x14ac:dyDescent="0.25">
      <c r="A2631" s="18">
        <v>1964</v>
      </c>
      <c r="B2631" s="18" t="s">
        <v>82</v>
      </c>
      <c r="C2631" s="18">
        <v>0</v>
      </c>
      <c r="D2631" s="18">
        <v>0</v>
      </c>
      <c r="E2631" s="18">
        <v>0</v>
      </c>
    </row>
    <row r="2632" spans="1:5" x14ac:dyDescent="0.25">
      <c r="A2632" s="18">
        <v>1965</v>
      </c>
      <c r="B2632" s="18" t="s">
        <v>82</v>
      </c>
      <c r="C2632" s="18">
        <v>0</v>
      </c>
      <c r="D2632" s="18">
        <v>0</v>
      </c>
      <c r="E2632" s="18">
        <v>0</v>
      </c>
    </row>
    <row r="2633" spans="1:5" x14ac:dyDescent="0.25">
      <c r="A2633" s="18">
        <v>1966</v>
      </c>
      <c r="B2633" s="18" t="s">
        <v>82</v>
      </c>
      <c r="C2633" s="18">
        <v>0</v>
      </c>
      <c r="D2633" s="18">
        <v>0</v>
      </c>
      <c r="E2633" s="18">
        <v>0</v>
      </c>
    </row>
    <row r="2634" spans="1:5" x14ac:dyDescent="0.25">
      <c r="A2634" s="18">
        <v>1967</v>
      </c>
      <c r="B2634" s="18" t="s">
        <v>82</v>
      </c>
      <c r="C2634" s="18">
        <v>0</v>
      </c>
      <c r="D2634" s="18">
        <v>0</v>
      </c>
      <c r="E2634" s="18">
        <v>0</v>
      </c>
    </row>
    <row r="2635" spans="1:5" x14ac:dyDescent="0.25">
      <c r="A2635" s="18">
        <v>1968</v>
      </c>
      <c r="B2635" s="18" t="s">
        <v>82</v>
      </c>
      <c r="C2635" s="18">
        <v>0</v>
      </c>
      <c r="D2635" s="18">
        <v>0</v>
      </c>
      <c r="E2635" s="18">
        <v>0</v>
      </c>
    </row>
    <row r="2636" spans="1:5" x14ac:dyDescent="0.25">
      <c r="A2636" s="18">
        <v>1969</v>
      </c>
      <c r="B2636" s="18" t="s">
        <v>82</v>
      </c>
      <c r="C2636" s="18">
        <v>0</v>
      </c>
      <c r="D2636" s="18">
        <v>0</v>
      </c>
      <c r="E2636" s="18">
        <v>0</v>
      </c>
    </row>
    <row r="2637" spans="1:5" x14ac:dyDescent="0.25">
      <c r="A2637" s="18">
        <v>1970</v>
      </c>
      <c r="B2637" s="18" t="s">
        <v>82</v>
      </c>
      <c r="C2637" s="18">
        <v>0</v>
      </c>
      <c r="D2637" s="18">
        <v>0</v>
      </c>
      <c r="E2637" s="18">
        <v>0</v>
      </c>
    </row>
    <row r="2638" spans="1:5" x14ac:dyDescent="0.25">
      <c r="A2638" s="18">
        <v>1971</v>
      </c>
      <c r="B2638" s="18" t="s">
        <v>82</v>
      </c>
      <c r="C2638" s="18">
        <v>0</v>
      </c>
      <c r="D2638" s="18">
        <v>0</v>
      </c>
      <c r="E2638" s="18">
        <v>0</v>
      </c>
    </row>
    <row r="2639" spans="1:5" x14ac:dyDescent="0.25">
      <c r="A2639" s="18">
        <v>1972</v>
      </c>
      <c r="B2639" s="18" t="s">
        <v>82</v>
      </c>
      <c r="C2639" s="18">
        <v>0</v>
      </c>
      <c r="D2639" s="18">
        <v>0</v>
      </c>
      <c r="E2639" s="18">
        <v>0</v>
      </c>
    </row>
    <row r="2640" spans="1:5" x14ac:dyDescent="0.25">
      <c r="A2640" s="18">
        <v>1973</v>
      </c>
      <c r="B2640" s="18" t="s">
        <v>82</v>
      </c>
      <c r="C2640" s="18">
        <v>0</v>
      </c>
      <c r="D2640" s="18">
        <v>0</v>
      </c>
      <c r="E2640" s="18">
        <v>0</v>
      </c>
    </row>
    <row r="2641" spans="1:5" x14ac:dyDescent="0.25">
      <c r="A2641" s="18">
        <v>1974</v>
      </c>
      <c r="B2641" s="18" t="s">
        <v>82</v>
      </c>
      <c r="C2641" s="18">
        <v>0</v>
      </c>
      <c r="D2641" s="18">
        <v>0</v>
      </c>
      <c r="E2641" s="18">
        <v>0</v>
      </c>
    </row>
    <row r="2642" spans="1:5" x14ac:dyDescent="0.25">
      <c r="A2642" s="18">
        <v>1975</v>
      </c>
      <c r="B2642" s="18" t="s">
        <v>82</v>
      </c>
      <c r="C2642" s="18">
        <v>310</v>
      </c>
      <c r="D2642" s="18">
        <v>306</v>
      </c>
      <c r="E2642" s="18">
        <v>617</v>
      </c>
    </row>
    <row r="2643" spans="1:5" x14ac:dyDescent="0.25">
      <c r="A2643" s="18">
        <v>1976</v>
      </c>
      <c r="B2643" s="18" t="s">
        <v>82</v>
      </c>
      <c r="C2643" s="18">
        <v>0</v>
      </c>
      <c r="D2643" s="18">
        <v>0</v>
      </c>
      <c r="E2643" s="18">
        <v>0</v>
      </c>
    </row>
    <row r="2644" spans="1:5" x14ac:dyDescent="0.25">
      <c r="A2644" s="18">
        <v>1977</v>
      </c>
      <c r="B2644" s="18" t="s">
        <v>82</v>
      </c>
      <c r="C2644" s="18">
        <v>0</v>
      </c>
      <c r="D2644" s="18">
        <v>0</v>
      </c>
      <c r="E2644" s="18">
        <v>0</v>
      </c>
    </row>
    <row r="2645" spans="1:5" x14ac:dyDescent="0.25">
      <c r="A2645" s="18">
        <v>1978</v>
      </c>
      <c r="B2645" s="18" t="s">
        <v>82</v>
      </c>
      <c r="C2645" s="18">
        <v>0</v>
      </c>
      <c r="D2645" s="18">
        <v>0</v>
      </c>
      <c r="E2645" s="18">
        <v>0</v>
      </c>
    </row>
    <row r="2646" spans="1:5" x14ac:dyDescent="0.25">
      <c r="A2646" s="18">
        <v>1979</v>
      </c>
      <c r="B2646" s="18" t="s">
        <v>82</v>
      </c>
      <c r="C2646" s="18">
        <v>0</v>
      </c>
      <c r="D2646" s="18">
        <v>0</v>
      </c>
      <c r="E2646" s="18">
        <v>0</v>
      </c>
    </row>
    <row r="2647" spans="1:5" x14ac:dyDescent="0.25">
      <c r="A2647" s="18">
        <v>1980</v>
      </c>
      <c r="B2647" s="18" t="s">
        <v>82</v>
      </c>
      <c r="C2647" s="18">
        <v>373</v>
      </c>
      <c r="D2647" s="18">
        <v>410</v>
      </c>
      <c r="E2647" s="18">
        <v>782</v>
      </c>
    </row>
    <row r="2648" spans="1:5" x14ac:dyDescent="0.25">
      <c r="A2648" s="18">
        <v>1981</v>
      </c>
      <c r="B2648" s="18" t="s">
        <v>82</v>
      </c>
      <c r="C2648" s="18">
        <v>0</v>
      </c>
      <c r="D2648" s="18">
        <v>0</v>
      </c>
      <c r="E2648" s="18">
        <v>0</v>
      </c>
    </row>
    <row r="2649" spans="1:5" x14ac:dyDescent="0.25">
      <c r="A2649" s="18">
        <v>1982</v>
      </c>
      <c r="B2649" s="18" t="s">
        <v>82</v>
      </c>
      <c r="C2649" s="18">
        <v>0</v>
      </c>
      <c r="D2649" s="18">
        <v>0</v>
      </c>
      <c r="E2649" s="18">
        <v>0</v>
      </c>
    </row>
    <row r="2650" spans="1:5" x14ac:dyDescent="0.25">
      <c r="A2650" s="18">
        <v>1983</v>
      </c>
      <c r="B2650" s="18" t="s">
        <v>82</v>
      </c>
      <c r="C2650" s="18">
        <v>0</v>
      </c>
      <c r="D2650" s="18">
        <v>0</v>
      </c>
      <c r="E2650" s="18">
        <v>0</v>
      </c>
    </row>
    <row r="2651" spans="1:5" x14ac:dyDescent="0.25">
      <c r="A2651" s="18">
        <v>1984</v>
      </c>
      <c r="B2651" s="18" t="s">
        <v>82</v>
      </c>
      <c r="C2651" s="18">
        <v>0</v>
      </c>
      <c r="D2651" s="18">
        <v>0</v>
      </c>
      <c r="E2651" s="18">
        <v>0</v>
      </c>
    </row>
    <row r="2652" spans="1:5" x14ac:dyDescent="0.25">
      <c r="A2652" s="18">
        <v>1985</v>
      </c>
      <c r="B2652" s="18" t="s">
        <v>82</v>
      </c>
      <c r="C2652" s="18">
        <v>405</v>
      </c>
      <c r="D2652" s="18">
        <v>428</v>
      </c>
      <c r="E2652" s="18">
        <v>833</v>
      </c>
    </row>
    <row r="2653" spans="1:5" x14ac:dyDescent="0.25">
      <c r="A2653" s="18">
        <v>1986</v>
      </c>
      <c r="B2653" s="18" t="s">
        <v>82</v>
      </c>
      <c r="C2653" s="18">
        <v>0</v>
      </c>
      <c r="D2653" s="18">
        <v>0</v>
      </c>
      <c r="E2653" s="18">
        <v>0</v>
      </c>
    </row>
    <row r="2654" spans="1:5" x14ac:dyDescent="0.25">
      <c r="A2654" s="18">
        <v>1987</v>
      </c>
      <c r="B2654" s="18" t="s">
        <v>82</v>
      </c>
      <c r="C2654" s="18">
        <v>0</v>
      </c>
      <c r="D2654" s="18">
        <v>0</v>
      </c>
      <c r="E2654" s="18">
        <v>0</v>
      </c>
    </row>
    <row r="2655" spans="1:5" x14ac:dyDescent="0.25">
      <c r="A2655" s="18">
        <v>1988</v>
      </c>
      <c r="B2655" s="18" t="s">
        <v>82</v>
      </c>
      <c r="C2655" s="18">
        <v>0</v>
      </c>
      <c r="D2655" s="18">
        <v>0</v>
      </c>
      <c r="E2655" s="18">
        <v>0</v>
      </c>
    </row>
    <row r="2656" spans="1:5" x14ac:dyDescent="0.25">
      <c r="A2656" s="18">
        <v>1989</v>
      </c>
      <c r="B2656" s="18" t="s">
        <v>82</v>
      </c>
      <c r="C2656" s="18">
        <v>0</v>
      </c>
      <c r="D2656" s="18">
        <v>0</v>
      </c>
      <c r="E2656" s="18">
        <v>0</v>
      </c>
    </row>
    <row r="2657" spans="1:5" x14ac:dyDescent="0.25">
      <c r="A2657" s="18">
        <v>1990</v>
      </c>
      <c r="B2657" s="18" t="s">
        <v>82</v>
      </c>
      <c r="C2657" s="18">
        <v>367</v>
      </c>
      <c r="D2657" s="18">
        <v>402</v>
      </c>
      <c r="E2657" s="18">
        <v>769</v>
      </c>
    </row>
    <row r="2658" spans="1:5" x14ac:dyDescent="0.25">
      <c r="A2658" s="18">
        <v>1991</v>
      </c>
      <c r="B2658" s="18" t="s">
        <v>82</v>
      </c>
      <c r="C2658" s="18">
        <v>0</v>
      </c>
      <c r="D2658" s="18">
        <v>0</v>
      </c>
      <c r="E2658" s="18">
        <v>0</v>
      </c>
    </row>
    <row r="2659" spans="1:5" x14ac:dyDescent="0.25">
      <c r="A2659" s="18">
        <v>1992</v>
      </c>
      <c r="B2659" s="18" t="s">
        <v>82</v>
      </c>
      <c r="C2659" s="18">
        <v>0</v>
      </c>
      <c r="D2659" s="18">
        <v>0</v>
      </c>
      <c r="E2659" s="18">
        <v>0</v>
      </c>
    </row>
    <row r="2660" spans="1:5" x14ac:dyDescent="0.25">
      <c r="A2660" s="18">
        <v>1993</v>
      </c>
      <c r="B2660" s="18" t="s">
        <v>82</v>
      </c>
      <c r="C2660" s="18">
        <v>0</v>
      </c>
      <c r="D2660" s="18">
        <v>0</v>
      </c>
      <c r="E2660" s="18">
        <v>0</v>
      </c>
    </row>
    <row r="2661" spans="1:5" x14ac:dyDescent="0.25">
      <c r="A2661" s="18">
        <v>1994</v>
      </c>
      <c r="B2661" s="18" t="s">
        <v>82</v>
      </c>
      <c r="C2661" s="18">
        <v>0</v>
      </c>
      <c r="D2661" s="18">
        <v>0</v>
      </c>
      <c r="E2661" s="18">
        <v>0</v>
      </c>
    </row>
    <row r="2662" spans="1:5" x14ac:dyDescent="0.25">
      <c r="A2662" s="18">
        <v>1995</v>
      </c>
      <c r="B2662" s="18" t="s">
        <v>82</v>
      </c>
      <c r="C2662" s="18">
        <v>0</v>
      </c>
      <c r="D2662" s="18">
        <v>0</v>
      </c>
      <c r="E2662" s="18">
        <v>0</v>
      </c>
    </row>
    <row r="2663" spans="1:5" x14ac:dyDescent="0.25">
      <c r="A2663" s="18">
        <v>1996</v>
      </c>
      <c r="B2663" s="18" t="s">
        <v>82</v>
      </c>
      <c r="C2663" s="18">
        <v>0</v>
      </c>
      <c r="D2663" s="18">
        <v>0</v>
      </c>
      <c r="E2663" s="18">
        <v>0</v>
      </c>
    </row>
    <row r="2664" spans="1:5" x14ac:dyDescent="0.25">
      <c r="A2664" s="18">
        <v>1997</v>
      </c>
      <c r="B2664" s="18" t="s">
        <v>82</v>
      </c>
      <c r="C2664" s="18">
        <v>0</v>
      </c>
      <c r="D2664" s="18">
        <v>0</v>
      </c>
      <c r="E2664" s="18">
        <v>0</v>
      </c>
    </row>
    <row r="2665" spans="1:5" x14ac:dyDescent="0.25">
      <c r="A2665" s="18">
        <v>1998</v>
      </c>
      <c r="B2665" s="18" t="s">
        <v>82</v>
      </c>
      <c r="C2665" s="18">
        <v>0</v>
      </c>
      <c r="D2665" s="18">
        <v>0</v>
      </c>
      <c r="E2665" s="18">
        <v>0</v>
      </c>
    </row>
    <row r="2666" spans="1:5" x14ac:dyDescent="0.25">
      <c r="A2666" s="18">
        <v>1999</v>
      </c>
      <c r="B2666" s="18" t="s">
        <v>82</v>
      </c>
      <c r="C2666" s="18">
        <v>0</v>
      </c>
      <c r="D2666" s="18">
        <v>0</v>
      </c>
      <c r="E2666" s="18">
        <v>0</v>
      </c>
    </row>
    <row r="2667" spans="1:5" x14ac:dyDescent="0.25">
      <c r="A2667" s="18">
        <v>2000</v>
      </c>
      <c r="B2667" s="18" t="s">
        <v>82</v>
      </c>
      <c r="C2667" s="18">
        <v>342</v>
      </c>
      <c r="D2667" s="18">
        <v>331</v>
      </c>
      <c r="E2667" s="18">
        <v>672</v>
      </c>
    </row>
    <row r="2668" spans="1:5" x14ac:dyDescent="0.25">
      <c r="A2668" s="18">
        <v>2001</v>
      </c>
      <c r="B2668" s="18" t="s">
        <v>82</v>
      </c>
      <c r="C2668" s="18">
        <v>0</v>
      </c>
      <c r="D2668" s="18">
        <v>0</v>
      </c>
      <c r="E2668" s="18">
        <v>0</v>
      </c>
    </row>
    <row r="2669" spans="1:5" x14ac:dyDescent="0.25">
      <c r="A2669" s="18">
        <v>2002</v>
      </c>
      <c r="B2669" s="18" t="s">
        <v>82</v>
      </c>
      <c r="C2669" s="18">
        <v>0</v>
      </c>
      <c r="D2669" s="18">
        <v>0</v>
      </c>
      <c r="E2669" s="18">
        <v>0</v>
      </c>
    </row>
    <row r="2670" spans="1:5" x14ac:dyDescent="0.25">
      <c r="A2670" s="18">
        <v>2003</v>
      </c>
      <c r="B2670" s="18" t="s">
        <v>82</v>
      </c>
      <c r="C2670" s="18">
        <v>0</v>
      </c>
      <c r="D2670" s="18">
        <v>0</v>
      </c>
      <c r="E2670" s="18">
        <v>0</v>
      </c>
    </row>
    <row r="2671" spans="1:5" x14ac:dyDescent="0.25">
      <c r="A2671" s="18">
        <v>2004</v>
      </c>
      <c r="B2671" s="18" t="s">
        <v>82</v>
      </c>
      <c r="C2671" s="18">
        <v>0</v>
      </c>
      <c r="D2671" s="18">
        <v>0</v>
      </c>
      <c r="E2671" s="18">
        <v>0</v>
      </c>
    </row>
    <row r="2672" spans="1:5" x14ac:dyDescent="0.25">
      <c r="A2672" s="18">
        <v>2005</v>
      </c>
      <c r="B2672" s="18" t="s">
        <v>82</v>
      </c>
      <c r="C2672" s="18">
        <v>0</v>
      </c>
      <c r="D2672" s="18">
        <v>0</v>
      </c>
      <c r="E2672" s="18">
        <v>0</v>
      </c>
    </row>
    <row r="2673" spans="1:5" x14ac:dyDescent="0.25">
      <c r="A2673" s="18">
        <v>2006</v>
      </c>
      <c r="B2673" s="18" t="s">
        <v>82</v>
      </c>
      <c r="C2673" s="18">
        <v>0</v>
      </c>
      <c r="D2673" s="18">
        <v>0</v>
      </c>
      <c r="E2673" s="18">
        <v>0</v>
      </c>
    </row>
    <row r="2674" spans="1:5" x14ac:dyDescent="0.25">
      <c r="A2674" s="18">
        <v>2007</v>
      </c>
      <c r="B2674" s="18" t="s">
        <v>82</v>
      </c>
      <c r="C2674" s="18">
        <v>0</v>
      </c>
      <c r="D2674" s="18">
        <v>0</v>
      </c>
      <c r="E2674" s="18">
        <v>0</v>
      </c>
    </row>
    <row r="2675" spans="1:5" x14ac:dyDescent="0.25">
      <c r="A2675" s="18">
        <v>2008</v>
      </c>
      <c r="B2675" s="18" t="s">
        <v>82</v>
      </c>
      <c r="C2675" s="18">
        <v>0</v>
      </c>
      <c r="D2675" s="18">
        <v>0</v>
      </c>
      <c r="E2675" s="18">
        <v>0</v>
      </c>
    </row>
    <row r="2676" spans="1:5" x14ac:dyDescent="0.25">
      <c r="A2676" s="18">
        <v>1950</v>
      </c>
      <c r="B2676" s="18" t="s">
        <v>83</v>
      </c>
      <c r="C2676" s="18">
        <v>0</v>
      </c>
      <c r="D2676" s="18">
        <v>0</v>
      </c>
      <c r="E2676" s="18">
        <v>0</v>
      </c>
    </row>
    <row r="2677" spans="1:5" x14ac:dyDescent="0.25">
      <c r="A2677" s="18">
        <v>1951</v>
      </c>
      <c r="B2677" s="18" t="s">
        <v>83</v>
      </c>
      <c r="C2677" s="18">
        <v>0</v>
      </c>
      <c r="D2677" s="18">
        <v>0</v>
      </c>
      <c r="E2677" s="18">
        <v>0</v>
      </c>
    </row>
    <row r="2678" spans="1:5" x14ac:dyDescent="0.25">
      <c r="A2678" s="18">
        <v>1952</v>
      </c>
      <c r="B2678" s="18" t="s">
        <v>83</v>
      </c>
      <c r="C2678" s="18">
        <v>0</v>
      </c>
      <c r="D2678" s="18">
        <v>0</v>
      </c>
      <c r="E2678" s="18">
        <v>0</v>
      </c>
    </row>
    <row r="2679" spans="1:5" x14ac:dyDescent="0.25">
      <c r="A2679" s="18">
        <v>1953</v>
      </c>
      <c r="B2679" s="18" t="s">
        <v>83</v>
      </c>
      <c r="C2679" s="18">
        <v>0</v>
      </c>
      <c r="D2679" s="18">
        <v>0</v>
      </c>
      <c r="E2679" s="18">
        <v>0</v>
      </c>
    </row>
    <row r="2680" spans="1:5" x14ac:dyDescent="0.25">
      <c r="A2680" s="18">
        <v>1954</v>
      </c>
      <c r="B2680" s="18" t="s">
        <v>83</v>
      </c>
      <c r="C2680" s="18">
        <v>0</v>
      </c>
      <c r="D2680" s="18">
        <v>0</v>
      </c>
      <c r="E2680" s="18">
        <v>0</v>
      </c>
    </row>
    <row r="2681" spans="1:5" x14ac:dyDescent="0.25">
      <c r="A2681" s="18">
        <v>1955</v>
      </c>
      <c r="B2681" s="18" t="s">
        <v>83</v>
      </c>
      <c r="C2681" s="18">
        <v>0</v>
      </c>
      <c r="D2681" s="18">
        <v>0</v>
      </c>
      <c r="E2681" s="18">
        <v>0</v>
      </c>
    </row>
    <row r="2682" spans="1:5" x14ac:dyDescent="0.25">
      <c r="A2682" s="18">
        <v>1956</v>
      </c>
      <c r="B2682" s="18" t="s">
        <v>83</v>
      </c>
      <c r="C2682" s="18">
        <v>0</v>
      </c>
      <c r="D2682" s="18">
        <v>0</v>
      </c>
      <c r="E2682" s="18">
        <v>0</v>
      </c>
    </row>
    <row r="2683" spans="1:5" x14ac:dyDescent="0.25">
      <c r="A2683" s="18">
        <v>1957</v>
      </c>
      <c r="B2683" s="18" t="s">
        <v>83</v>
      </c>
      <c r="C2683" s="18">
        <v>0</v>
      </c>
      <c r="D2683" s="18">
        <v>0</v>
      </c>
      <c r="E2683" s="18">
        <v>0</v>
      </c>
    </row>
    <row r="2684" spans="1:5" x14ac:dyDescent="0.25">
      <c r="A2684" s="18">
        <v>1958</v>
      </c>
      <c r="B2684" s="18" t="s">
        <v>83</v>
      </c>
      <c r="C2684" s="18">
        <v>0</v>
      </c>
      <c r="D2684" s="18">
        <v>0</v>
      </c>
      <c r="E2684" s="18">
        <v>0</v>
      </c>
    </row>
    <row r="2685" spans="1:5" x14ac:dyDescent="0.25">
      <c r="A2685" s="18">
        <v>1959</v>
      </c>
      <c r="B2685" s="18" t="s">
        <v>83</v>
      </c>
      <c r="C2685" s="18">
        <v>0</v>
      </c>
      <c r="D2685" s="18">
        <v>0</v>
      </c>
      <c r="E2685" s="18">
        <v>0</v>
      </c>
    </row>
    <row r="2686" spans="1:5" x14ac:dyDescent="0.25">
      <c r="A2686" s="18">
        <v>1960</v>
      </c>
      <c r="B2686" s="18" t="s">
        <v>83</v>
      </c>
      <c r="C2686" s="18">
        <v>0</v>
      </c>
      <c r="D2686" s="18">
        <v>0</v>
      </c>
      <c r="E2686" s="18">
        <v>0</v>
      </c>
    </row>
    <row r="2687" spans="1:5" x14ac:dyDescent="0.25">
      <c r="A2687" s="18">
        <v>1961</v>
      </c>
      <c r="B2687" s="18" t="s">
        <v>83</v>
      </c>
      <c r="C2687" s="18">
        <v>0</v>
      </c>
      <c r="D2687" s="18">
        <v>0</v>
      </c>
      <c r="E2687" s="18">
        <v>0</v>
      </c>
    </row>
    <row r="2688" spans="1:5" x14ac:dyDescent="0.25">
      <c r="A2688" s="18">
        <v>1962</v>
      </c>
      <c r="B2688" s="18" t="s">
        <v>83</v>
      </c>
      <c r="C2688" s="18">
        <v>0</v>
      </c>
      <c r="D2688" s="18">
        <v>0</v>
      </c>
      <c r="E2688" s="18">
        <v>0</v>
      </c>
    </row>
    <row r="2689" spans="1:5" x14ac:dyDescent="0.25">
      <c r="A2689" s="18">
        <v>1963</v>
      </c>
      <c r="B2689" s="18" t="s">
        <v>83</v>
      </c>
      <c r="C2689" s="18">
        <v>0</v>
      </c>
      <c r="D2689" s="18">
        <v>0</v>
      </c>
      <c r="E2689" s="18">
        <v>0</v>
      </c>
    </row>
    <row r="2690" spans="1:5" x14ac:dyDescent="0.25">
      <c r="A2690" s="18">
        <v>1964</v>
      </c>
      <c r="B2690" s="18" t="s">
        <v>83</v>
      </c>
      <c r="C2690" s="18">
        <v>0</v>
      </c>
      <c r="D2690" s="18">
        <v>0</v>
      </c>
      <c r="E2690" s="18">
        <v>0</v>
      </c>
    </row>
    <row r="2691" spans="1:5" x14ac:dyDescent="0.25">
      <c r="A2691" s="18">
        <v>1965</v>
      </c>
      <c r="B2691" s="18" t="s">
        <v>83</v>
      </c>
      <c r="C2691" s="18">
        <v>0</v>
      </c>
      <c r="D2691" s="18">
        <v>0</v>
      </c>
      <c r="E2691" s="18">
        <v>0</v>
      </c>
    </row>
    <row r="2692" spans="1:5" x14ac:dyDescent="0.25">
      <c r="A2692" s="18">
        <v>1966</v>
      </c>
      <c r="B2692" s="18" t="s">
        <v>83</v>
      </c>
      <c r="C2692" s="18">
        <v>0</v>
      </c>
      <c r="D2692" s="18">
        <v>0</v>
      </c>
      <c r="E2692" s="18">
        <v>0</v>
      </c>
    </row>
    <row r="2693" spans="1:5" x14ac:dyDescent="0.25">
      <c r="A2693" s="18">
        <v>1967</v>
      </c>
      <c r="B2693" s="18" t="s">
        <v>83</v>
      </c>
      <c r="C2693" s="18">
        <v>0</v>
      </c>
      <c r="D2693" s="18">
        <v>0</v>
      </c>
      <c r="E2693" s="18">
        <v>0</v>
      </c>
    </row>
    <row r="2694" spans="1:5" x14ac:dyDescent="0.25">
      <c r="A2694" s="18">
        <v>1968</v>
      </c>
      <c r="B2694" s="18" t="s">
        <v>83</v>
      </c>
      <c r="C2694" s="18">
        <v>0</v>
      </c>
      <c r="D2694" s="18">
        <v>0</v>
      </c>
      <c r="E2694" s="18">
        <v>0</v>
      </c>
    </row>
    <row r="2695" spans="1:5" x14ac:dyDescent="0.25">
      <c r="A2695" s="18">
        <v>1969</v>
      </c>
      <c r="B2695" s="18" t="s">
        <v>83</v>
      </c>
      <c r="C2695" s="18">
        <v>0</v>
      </c>
      <c r="D2695" s="18">
        <v>0</v>
      </c>
      <c r="E2695" s="18">
        <v>0</v>
      </c>
    </row>
    <row r="2696" spans="1:5" x14ac:dyDescent="0.25">
      <c r="A2696" s="18">
        <v>1970</v>
      </c>
      <c r="B2696" s="18" t="s">
        <v>83</v>
      </c>
      <c r="C2696" s="18">
        <v>0</v>
      </c>
      <c r="D2696" s="18">
        <v>0</v>
      </c>
      <c r="E2696" s="18">
        <v>0</v>
      </c>
    </row>
    <row r="2697" spans="1:5" x14ac:dyDescent="0.25">
      <c r="A2697" s="18">
        <v>1971</v>
      </c>
      <c r="B2697" s="18" t="s">
        <v>83</v>
      </c>
      <c r="C2697" s="18">
        <v>0</v>
      </c>
      <c r="D2697" s="18">
        <v>0</v>
      </c>
      <c r="E2697" s="18">
        <v>0</v>
      </c>
    </row>
    <row r="2698" spans="1:5" x14ac:dyDescent="0.25">
      <c r="A2698" s="18">
        <v>1972</v>
      </c>
      <c r="B2698" s="18" t="s">
        <v>83</v>
      </c>
      <c r="C2698" s="18">
        <v>0</v>
      </c>
      <c r="D2698" s="18">
        <v>0</v>
      </c>
      <c r="E2698" s="18">
        <v>0</v>
      </c>
    </row>
    <row r="2699" spans="1:5" x14ac:dyDescent="0.25">
      <c r="A2699" s="18">
        <v>1973</v>
      </c>
      <c r="B2699" s="18" t="s">
        <v>83</v>
      </c>
      <c r="C2699" s="18">
        <v>0</v>
      </c>
      <c r="D2699" s="18">
        <v>0</v>
      </c>
      <c r="E2699" s="18">
        <v>0</v>
      </c>
    </row>
    <row r="2700" spans="1:5" x14ac:dyDescent="0.25">
      <c r="A2700" s="18">
        <v>1974</v>
      </c>
      <c r="B2700" s="18" t="s">
        <v>83</v>
      </c>
      <c r="C2700" s="18">
        <v>0</v>
      </c>
      <c r="D2700" s="18">
        <v>0</v>
      </c>
      <c r="E2700" s="18">
        <v>0</v>
      </c>
    </row>
    <row r="2701" spans="1:5" x14ac:dyDescent="0.25">
      <c r="A2701" s="18">
        <v>1975</v>
      </c>
      <c r="B2701" s="18" t="s">
        <v>83</v>
      </c>
      <c r="C2701" s="18">
        <v>1212</v>
      </c>
      <c r="D2701" s="18">
        <v>1329</v>
      </c>
      <c r="E2701" s="18">
        <v>2541</v>
      </c>
    </row>
    <row r="2702" spans="1:5" x14ac:dyDescent="0.25">
      <c r="A2702" s="18">
        <v>1976</v>
      </c>
      <c r="B2702" s="18" t="s">
        <v>83</v>
      </c>
      <c r="C2702" s="18">
        <v>0</v>
      </c>
      <c r="D2702" s="18">
        <v>0</v>
      </c>
      <c r="E2702" s="18">
        <v>0</v>
      </c>
    </row>
    <row r="2703" spans="1:5" x14ac:dyDescent="0.25">
      <c r="A2703" s="18">
        <v>1977</v>
      </c>
      <c r="B2703" s="18" t="s">
        <v>83</v>
      </c>
      <c r="C2703" s="18">
        <v>0</v>
      </c>
      <c r="D2703" s="18">
        <v>0</v>
      </c>
      <c r="E2703" s="18">
        <v>0</v>
      </c>
    </row>
    <row r="2704" spans="1:5" x14ac:dyDescent="0.25">
      <c r="A2704" s="18">
        <v>1978</v>
      </c>
      <c r="B2704" s="18" t="s">
        <v>83</v>
      </c>
      <c r="C2704" s="18">
        <v>0</v>
      </c>
      <c r="D2704" s="18">
        <v>0</v>
      </c>
      <c r="E2704" s="18">
        <v>0</v>
      </c>
    </row>
    <row r="2705" spans="1:5" x14ac:dyDescent="0.25">
      <c r="A2705" s="18">
        <v>1979</v>
      </c>
      <c r="B2705" s="18" t="s">
        <v>83</v>
      </c>
      <c r="C2705" s="18">
        <v>0</v>
      </c>
      <c r="D2705" s="18">
        <v>0</v>
      </c>
      <c r="E2705" s="18">
        <v>0</v>
      </c>
    </row>
    <row r="2706" spans="1:5" x14ac:dyDescent="0.25">
      <c r="A2706" s="18">
        <v>1980</v>
      </c>
      <c r="B2706" s="18" t="s">
        <v>83</v>
      </c>
      <c r="C2706" s="18">
        <v>1309</v>
      </c>
      <c r="D2706" s="18">
        <v>1341</v>
      </c>
      <c r="E2706" s="18">
        <v>2650</v>
      </c>
    </row>
    <row r="2707" spans="1:5" x14ac:dyDescent="0.25">
      <c r="A2707" s="18">
        <v>1981</v>
      </c>
      <c r="B2707" s="18" t="s">
        <v>83</v>
      </c>
      <c r="C2707" s="18">
        <v>0</v>
      </c>
      <c r="D2707" s="18">
        <v>0</v>
      </c>
      <c r="E2707" s="18">
        <v>0</v>
      </c>
    </row>
    <row r="2708" spans="1:5" x14ac:dyDescent="0.25">
      <c r="A2708" s="18">
        <v>1982</v>
      </c>
      <c r="B2708" s="18" t="s">
        <v>83</v>
      </c>
      <c r="C2708" s="18">
        <v>0</v>
      </c>
      <c r="D2708" s="18">
        <v>0</v>
      </c>
      <c r="E2708" s="18">
        <v>0</v>
      </c>
    </row>
    <row r="2709" spans="1:5" x14ac:dyDescent="0.25">
      <c r="A2709" s="18">
        <v>1983</v>
      </c>
      <c r="B2709" s="18" t="s">
        <v>83</v>
      </c>
      <c r="C2709" s="18">
        <v>0</v>
      </c>
      <c r="D2709" s="18">
        <v>0</v>
      </c>
      <c r="E2709" s="18">
        <v>0</v>
      </c>
    </row>
    <row r="2710" spans="1:5" x14ac:dyDescent="0.25">
      <c r="A2710" s="18">
        <v>1984</v>
      </c>
      <c r="B2710" s="18" t="s">
        <v>83</v>
      </c>
      <c r="C2710" s="18">
        <v>0</v>
      </c>
      <c r="D2710" s="18">
        <v>0</v>
      </c>
      <c r="E2710" s="18">
        <v>0</v>
      </c>
    </row>
    <row r="2711" spans="1:5" x14ac:dyDescent="0.25">
      <c r="A2711" s="18">
        <v>1985</v>
      </c>
      <c r="B2711" s="18" t="s">
        <v>83</v>
      </c>
      <c r="C2711" s="18">
        <v>1265</v>
      </c>
      <c r="D2711" s="18">
        <v>1300</v>
      </c>
      <c r="E2711" s="18">
        <v>2565</v>
      </c>
    </row>
    <row r="2712" spans="1:5" x14ac:dyDescent="0.25">
      <c r="A2712" s="18">
        <v>1986</v>
      </c>
      <c r="B2712" s="18" t="s">
        <v>83</v>
      </c>
      <c r="C2712" s="18">
        <v>0</v>
      </c>
      <c r="D2712" s="18">
        <v>0</v>
      </c>
      <c r="E2712" s="18">
        <v>0</v>
      </c>
    </row>
    <row r="2713" spans="1:5" x14ac:dyDescent="0.25">
      <c r="A2713" s="18">
        <v>1987</v>
      </c>
      <c r="B2713" s="18" t="s">
        <v>83</v>
      </c>
      <c r="C2713" s="18">
        <v>0</v>
      </c>
      <c r="D2713" s="18">
        <v>0</v>
      </c>
      <c r="E2713" s="18">
        <v>0</v>
      </c>
    </row>
    <row r="2714" spans="1:5" x14ac:dyDescent="0.25">
      <c r="A2714" s="18">
        <v>1988</v>
      </c>
      <c r="B2714" s="18" t="s">
        <v>83</v>
      </c>
      <c r="C2714" s="18">
        <v>0</v>
      </c>
      <c r="D2714" s="18">
        <v>0</v>
      </c>
      <c r="E2714" s="18">
        <v>0</v>
      </c>
    </row>
    <row r="2715" spans="1:5" x14ac:dyDescent="0.25">
      <c r="A2715" s="18">
        <v>1989</v>
      </c>
      <c r="B2715" s="18" t="s">
        <v>83</v>
      </c>
      <c r="C2715" s="18">
        <v>0</v>
      </c>
      <c r="D2715" s="18">
        <v>0</v>
      </c>
      <c r="E2715" s="18">
        <v>0</v>
      </c>
    </row>
    <row r="2716" spans="1:5" x14ac:dyDescent="0.25">
      <c r="A2716" s="18">
        <v>1990</v>
      </c>
      <c r="B2716" s="18" t="s">
        <v>83</v>
      </c>
      <c r="C2716" s="18">
        <v>1289</v>
      </c>
      <c r="D2716" s="18">
        <v>1349</v>
      </c>
      <c r="E2716" s="18">
        <v>2638</v>
      </c>
    </row>
    <row r="2717" spans="1:5" x14ac:dyDescent="0.25">
      <c r="A2717" s="18">
        <v>1991</v>
      </c>
      <c r="B2717" s="18" t="s">
        <v>83</v>
      </c>
      <c r="C2717" s="18">
        <v>0</v>
      </c>
      <c r="D2717" s="18">
        <v>0</v>
      </c>
      <c r="E2717" s="18">
        <v>0</v>
      </c>
    </row>
    <row r="2718" spans="1:5" x14ac:dyDescent="0.25">
      <c r="A2718" s="18">
        <v>1992</v>
      </c>
      <c r="B2718" s="18" t="s">
        <v>83</v>
      </c>
      <c r="C2718" s="18">
        <v>0</v>
      </c>
      <c r="D2718" s="18">
        <v>0</v>
      </c>
      <c r="E2718" s="18">
        <v>0</v>
      </c>
    </row>
    <row r="2719" spans="1:5" x14ac:dyDescent="0.25">
      <c r="A2719" s="18">
        <v>1993</v>
      </c>
      <c r="B2719" s="18" t="s">
        <v>83</v>
      </c>
      <c r="C2719" s="18">
        <v>0</v>
      </c>
      <c r="D2719" s="18">
        <v>0</v>
      </c>
      <c r="E2719" s="18">
        <v>0</v>
      </c>
    </row>
    <row r="2720" spans="1:5" x14ac:dyDescent="0.25">
      <c r="A2720" s="18">
        <v>1994</v>
      </c>
      <c r="B2720" s="18" t="s">
        <v>83</v>
      </c>
      <c r="C2720" s="18">
        <v>0</v>
      </c>
      <c r="D2720" s="18">
        <v>0</v>
      </c>
      <c r="E2720" s="18">
        <v>0</v>
      </c>
    </row>
    <row r="2721" spans="1:5" x14ac:dyDescent="0.25">
      <c r="A2721" s="18">
        <v>1995</v>
      </c>
      <c r="B2721" s="18" t="s">
        <v>83</v>
      </c>
      <c r="C2721" s="18">
        <v>0</v>
      </c>
      <c r="D2721" s="18">
        <v>0</v>
      </c>
      <c r="E2721" s="18">
        <v>0</v>
      </c>
    </row>
    <row r="2722" spans="1:5" x14ac:dyDescent="0.25">
      <c r="A2722" s="18">
        <v>1996</v>
      </c>
      <c r="B2722" s="18" t="s">
        <v>83</v>
      </c>
      <c r="C2722" s="18">
        <v>0</v>
      </c>
      <c r="D2722" s="18">
        <v>0</v>
      </c>
      <c r="E2722" s="18">
        <v>0</v>
      </c>
    </row>
    <row r="2723" spans="1:5" x14ac:dyDescent="0.25">
      <c r="A2723" s="18">
        <v>1997</v>
      </c>
      <c r="B2723" s="18" t="s">
        <v>83</v>
      </c>
      <c r="C2723" s="18">
        <v>0</v>
      </c>
      <c r="D2723" s="18">
        <v>0</v>
      </c>
      <c r="E2723" s="18">
        <v>0</v>
      </c>
    </row>
    <row r="2724" spans="1:5" x14ac:dyDescent="0.25">
      <c r="A2724" s="18">
        <v>1998</v>
      </c>
      <c r="B2724" s="18" t="s">
        <v>83</v>
      </c>
      <c r="C2724" s="18">
        <v>0</v>
      </c>
      <c r="D2724" s="18">
        <v>0</v>
      </c>
      <c r="E2724" s="18">
        <v>0</v>
      </c>
    </row>
    <row r="2725" spans="1:5" x14ac:dyDescent="0.25">
      <c r="A2725" s="18">
        <v>1999</v>
      </c>
      <c r="B2725" s="18" t="s">
        <v>83</v>
      </c>
      <c r="C2725" s="18">
        <v>0</v>
      </c>
      <c r="D2725" s="18">
        <v>0</v>
      </c>
      <c r="E2725" s="18">
        <v>0</v>
      </c>
    </row>
    <row r="2726" spans="1:5" x14ac:dyDescent="0.25">
      <c r="A2726" s="18">
        <v>2000</v>
      </c>
      <c r="B2726" s="18" t="s">
        <v>83</v>
      </c>
      <c r="C2726" s="18">
        <v>1464</v>
      </c>
      <c r="D2726" s="18">
        <v>1654</v>
      </c>
      <c r="E2726" s="18">
        <v>3116</v>
      </c>
    </row>
    <row r="2727" spans="1:5" x14ac:dyDescent="0.25">
      <c r="A2727" s="18">
        <v>2001</v>
      </c>
      <c r="B2727" s="18" t="s">
        <v>83</v>
      </c>
      <c r="C2727" s="18">
        <v>0</v>
      </c>
      <c r="D2727" s="18">
        <v>0</v>
      </c>
      <c r="E2727" s="18">
        <v>0</v>
      </c>
    </row>
    <row r="2728" spans="1:5" x14ac:dyDescent="0.25">
      <c r="A2728" s="18">
        <v>2002</v>
      </c>
      <c r="B2728" s="18" t="s">
        <v>83</v>
      </c>
      <c r="C2728" s="18">
        <v>0</v>
      </c>
      <c r="D2728" s="18">
        <v>0</v>
      </c>
      <c r="E2728" s="18">
        <v>0</v>
      </c>
    </row>
    <row r="2729" spans="1:5" x14ac:dyDescent="0.25">
      <c r="A2729" s="18">
        <v>2003</v>
      </c>
      <c r="B2729" s="18" t="s">
        <v>83</v>
      </c>
      <c r="C2729" s="18">
        <v>0</v>
      </c>
      <c r="D2729" s="18">
        <v>0</v>
      </c>
      <c r="E2729" s="18">
        <v>0</v>
      </c>
    </row>
    <row r="2730" spans="1:5" x14ac:dyDescent="0.25">
      <c r="A2730" s="18">
        <v>2004</v>
      </c>
      <c r="B2730" s="18" t="s">
        <v>83</v>
      </c>
      <c r="C2730" s="18">
        <v>0</v>
      </c>
      <c r="D2730" s="18">
        <v>0</v>
      </c>
      <c r="E2730" s="18">
        <v>0</v>
      </c>
    </row>
    <row r="2731" spans="1:5" x14ac:dyDescent="0.25">
      <c r="A2731" s="18">
        <v>2005</v>
      </c>
      <c r="B2731" s="18" t="s">
        <v>83</v>
      </c>
      <c r="C2731" s="18">
        <v>0</v>
      </c>
      <c r="D2731" s="18">
        <v>0</v>
      </c>
      <c r="E2731" s="18">
        <v>0</v>
      </c>
    </row>
    <row r="2732" spans="1:5" x14ac:dyDescent="0.25">
      <c r="A2732" s="18">
        <v>2006</v>
      </c>
      <c r="B2732" s="18" t="s">
        <v>83</v>
      </c>
      <c r="C2732" s="18">
        <v>0</v>
      </c>
      <c r="D2732" s="18">
        <v>0</v>
      </c>
      <c r="E2732" s="18">
        <v>0</v>
      </c>
    </row>
    <row r="2733" spans="1:5" x14ac:dyDescent="0.25">
      <c r="A2733" s="18">
        <v>2007</v>
      </c>
      <c r="B2733" s="18" t="s">
        <v>83</v>
      </c>
      <c r="C2733" s="18">
        <v>0</v>
      </c>
      <c r="D2733" s="18">
        <v>0</v>
      </c>
      <c r="E2733" s="18">
        <v>0</v>
      </c>
    </row>
    <row r="2734" spans="1:5" x14ac:dyDescent="0.25">
      <c r="A2734" s="18">
        <v>2008</v>
      </c>
      <c r="B2734" s="18" t="s">
        <v>83</v>
      </c>
      <c r="C2734" s="18">
        <v>0</v>
      </c>
      <c r="D2734" s="18">
        <v>0</v>
      </c>
      <c r="E2734" s="18">
        <v>0</v>
      </c>
    </row>
    <row r="2735" spans="1:5" x14ac:dyDescent="0.25">
      <c r="A2735" s="18">
        <v>1950</v>
      </c>
      <c r="B2735" s="18" t="s">
        <v>40</v>
      </c>
      <c r="C2735" s="18">
        <v>0</v>
      </c>
      <c r="D2735" s="18">
        <v>0</v>
      </c>
      <c r="E2735" s="18">
        <v>0</v>
      </c>
    </row>
    <row r="2736" spans="1:5" x14ac:dyDescent="0.25">
      <c r="A2736" s="18">
        <v>1951</v>
      </c>
      <c r="B2736" s="18" t="s">
        <v>40</v>
      </c>
      <c r="C2736" s="18">
        <v>0</v>
      </c>
      <c r="D2736" s="18">
        <v>0</v>
      </c>
      <c r="E2736" s="18">
        <v>0</v>
      </c>
    </row>
    <row r="2737" spans="1:5" x14ac:dyDescent="0.25">
      <c r="A2737" s="18">
        <v>1952</v>
      </c>
      <c r="B2737" s="18" t="s">
        <v>40</v>
      </c>
      <c r="C2737" s="18">
        <v>0</v>
      </c>
      <c r="D2737" s="18">
        <v>0</v>
      </c>
      <c r="E2737" s="18">
        <v>0</v>
      </c>
    </row>
    <row r="2738" spans="1:5" x14ac:dyDescent="0.25">
      <c r="A2738" s="18">
        <v>1953</v>
      </c>
      <c r="B2738" s="18" t="s">
        <v>40</v>
      </c>
      <c r="C2738" s="18">
        <v>0</v>
      </c>
      <c r="D2738" s="18">
        <v>0</v>
      </c>
      <c r="E2738" s="18">
        <v>0</v>
      </c>
    </row>
    <row r="2739" spans="1:5" x14ac:dyDescent="0.25">
      <c r="A2739" s="18">
        <v>1954</v>
      </c>
      <c r="B2739" s="18" t="s">
        <v>40</v>
      </c>
      <c r="C2739" s="18">
        <v>0</v>
      </c>
      <c r="D2739" s="18">
        <v>0</v>
      </c>
      <c r="E2739" s="18">
        <v>0</v>
      </c>
    </row>
    <row r="2740" spans="1:5" x14ac:dyDescent="0.25">
      <c r="A2740" s="18">
        <v>1955</v>
      </c>
      <c r="B2740" s="18" t="s">
        <v>40</v>
      </c>
      <c r="C2740" s="18">
        <v>0</v>
      </c>
      <c r="D2740" s="18">
        <v>0</v>
      </c>
      <c r="E2740" s="18">
        <v>0</v>
      </c>
    </row>
    <row r="2741" spans="1:5" x14ac:dyDescent="0.25">
      <c r="A2741" s="18">
        <v>1956</v>
      </c>
      <c r="B2741" s="18" t="s">
        <v>40</v>
      </c>
      <c r="C2741" s="18">
        <v>0</v>
      </c>
      <c r="D2741" s="18">
        <v>0</v>
      </c>
      <c r="E2741" s="18">
        <v>0</v>
      </c>
    </row>
    <row r="2742" spans="1:5" x14ac:dyDescent="0.25">
      <c r="A2742" s="18">
        <v>1957</v>
      </c>
      <c r="B2742" s="18" t="s">
        <v>40</v>
      </c>
      <c r="C2742" s="18">
        <v>0</v>
      </c>
      <c r="D2742" s="18">
        <v>0</v>
      </c>
      <c r="E2742" s="18">
        <v>0</v>
      </c>
    </row>
    <row r="2743" spans="1:5" x14ac:dyDescent="0.25">
      <c r="A2743" s="18">
        <v>1958</v>
      </c>
      <c r="B2743" s="18" t="s">
        <v>40</v>
      </c>
      <c r="C2743" s="18">
        <v>0</v>
      </c>
      <c r="D2743" s="18">
        <v>0</v>
      </c>
      <c r="E2743" s="18">
        <v>0</v>
      </c>
    </row>
    <row r="2744" spans="1:5" x14ac:dyDescent="0.25">
      <c r="A2744" s="18">
        <v>1959</v>
      </c>
      <c r="B2744" s="18" t="s">
        <v>40</v>
      </c>
      <c r="C2744" s="18">
        <v>0</v>
      </c>
      <c r="D2744" s="18">
        <v>0</v>
      </c>
      <c r="E2744" s="18">
        <v>0</v>
      </c>
    </row>
    <row r="2745" spans="1:5" x14ac:dyDescent="0.25">
      <c r="A2745" s="18">
        <v>1960</v>
      </c>
      <c r="B2745" s="18" t="s">
        <v>40</v>
      </c>
      <c r="C2745" s="18">
        <v>0</v>
      </c>
      <c r="D2745" s="18">
        <v>0</v>
      </c>
      <c r="E2745" s="18">
        <v>0</v>
      </c>
    </row>
    <row r="2746" spans="1:5" x14ac:dyDescent="0.25">
      <c r="A2746" s="18">
        <v>1961</v>
      </c>
      <c r="B2746" s="18" t="s">
        <v>40</v>
      </c>
      <c r="C2746" s="18">
        <v>0</v>
      </c>
      <c r="D2746" s="18">
        <v>0</v>
      </c>
      <c r="E2746" s="18">
        <v>0</v>
      </c>
    </row>
    <row r="2747" spans="1:5" x14ac:dyDescent="0.25">
      <c r="A2747" s="18">
        <v>1962</v>
      </c>
      <c r="B2747" s="18" t="s">
        <v>40</v>
      </c>
      <c r="C2747" s="18">
        <v>0</v>
      </c>
      <c r="D2747" s="18">
        <v>0</v>
      </c>
      <c r="E2747" s="18">
        <v>0</v>
      </c>
    </row>
    <row r="2748" spans="1:5" x14ac:dyDescent="0.25">
      <c r="A2748" s="18">
        <v>1963</v>
      </c>
      <c r="B2748" s="18" t="s">
        <v>40</v>
      </c>
      <c r="C2748" s="18">
        <v>0</v>
      </c>
      <c r="D2748" s="18">
        <v>0</v>
      </c>
      <c r="E2748" s="18">
        <v>0</v>
      </c>
    </row>
    <row r="2749" spans="1:5" x14ac:dyDescent="0.25">
      <c r="A2749" s="18">
        <v>1964</v>
      </c>
      <c r="B2749" s="18" t="s">
        <v>40</v>
      </c>
      <c r="C2749" s="18">
        <v>0</v>
      </c>
      <c r="D2749" s="18">
        <v>0</v>
      </c>
      <c r="E2749" s="18">
        <v>0</v>
      </c>
    </row>
    <row r="2750" spans="1:5" x14ac:dyDescent="0.25">
      <c r="A2750" s="18">
        <v>1965</v>
      </c>
      <c r="B2750" s="18" t="s">
        <v>40</v>
      </c>
      <c r="C2750" s="18">
        <v>0</v>
      </c>
      <c r="D2750" s="18">
        <v>0</v>
      </c>
      <c r="E2750" s="18">
        <v>0</v>
      </c>
    </row>
    <row r="2751" spans="1:5" x14ac:dyDescent="0.25">
      <c r="A2751" s="18">
        <v>1966</v>
      </c>
      <c r="B2751" s="18" t="s">
        <v>40</v>
      </c>
      <c r="C2751" s="18">
        <v>0</v>
      </c>
      <c r="D2751" s="18">
        <v>0</v>
      </c>
      <c r="E2751" s="18">
        <v>0</v>
      </c>
    </row>
    <row r="2752" spans="1:5" x14ac:dyDescent="0.25">
      <c r="A2752" s="18">
        <v>1967</v>
      </c>
      <c r="B2752" s="18" t="s">
        <v>40</v>
      </c>
      <c r="C2752" s="18">
        <v>0</v>
      </c>
      <c r="D2752" s="18">
        <v>0</v>
      </c>
      <c r="E2752" s="18">
        <v>0</v>
      </c>
    </row>
    <row r="2753" spans="1:5" x14ac:dyDescent="0.25">
      <c r="A2753" s="18">
        <v>1968</v>
      </c>
      <c r="B2753" s="18" t="s">
        <v>40</v>
      </c>
      <c r="C2753" s="18">
        <v>0</v>
      </c>
      <c r="D2753" s="18">
        <v>0</v>
      </c>
      <c r="E2753" s="18">
        <v>0</v>
      </c>
    </row>
    <row r="2754" spans="1:5" x14ac:dyDescent="0.25">
      <c r="A2754" s="18">
        <v>1969</v>
      </c>
      <c r="B2754" s="18" t="s">
        <v>40</v>
      </c>
      <c r="C2754" s="18">
        <v>0</v>
      </c>
      <c r="D2754" s="18">
        <v>0</v>
      </c>
      <c r="E2754" s="18">
        <v>0</v>
      </c>
    </row>
    <row r="2755" spans="1:5" x14ac:dyDescent="0.25">
      <c r="A2755" s="18">
        <v>1970</v>
      </c>
      <c r="B2755" s="18" t="s">
        <v>40</v>
      </c>
      <c r="C2755" s="18">
        <v>0</v>
      </c>
      <c r="D2755" s="18">
        <v>0</v>
      </c>
      <c r="E2755" s="18">
        <v>0</v>
      </c>
    </row>
    <row r="2756" spans="1:5" x14ac:dyDescent="0.25">
      <c r="A2756" s="18">
        <v>1971</v>
      </c>
      <c r="B2756" s="18" t="s">
        <v>40</v>
      </c>
      <c r="C2756" s="18">
        <v>0</v>
      </c>
      <c r="D2756" s="18">
        <v>0</v>
      </c>
      <c r="E2756" s="18">
        <v>0</v>
      </c>
    </row>
    <row r="2757" spans="1:5" x14ac:dyDescent="0.25">
      <c r="A2757" s="18">
        <v>1972</v>
      </c>
      <c r="B2757" s="18" t="s">
        <v>40</v>
      </c>
      <c r="C2757" s="18">
        <v>0</v>
      </c>
      <c r="D2757" s="18">
        <v>0</v>
      </c>
      <c r="E2757" s="18">
        <v>0</v>
      </c>
    </row>
    <row r="2758" spans="1:5" x14ac:dyDescent="0.25">
      <c r="A2758" s="18">
        <v>1973</v>
      </c>
      <c r="B2758" s="18" t="s">
        <v>40</v>
      </c>
      <c r="C2758" s="18">
        <v>0</v>
      </c>
      <c r="D2758" s="18">
        <v>0</v>
      </c>
      <c r="E2758" s="18">
        <v>0</v>
      </c>
    </row>
    <row r="2759" spans="1:5" x14ac:dyDescent="0.25">
      <c r="A2759" s="18">
        <v>1974</v>
      </c>
      <c r="B2759" s="18" t="s">
        <v>40</v>
      </c>
      <c r="C2759" s="18">
        <v>0</v>
      </c>
      <c r="D2759" s="18">
        <v>0</v>
      </c>
      <c r="E2759" s="18">
        <v>0</v>
      </c>
    </row>
    <row r="2760" spans="1:5" x14ac:dyDescent="0.25">
      <c r="A2760" s="18">
        <v>1975</v>
      </c>
      <c r="B2760" s="18" t="s">
        <v>40</v>
      </c>
      <c r="C2760" s="18">
        <v>4273</v>
      </c>
      <c r="D2760" s="18">
        <v>4010</v>
      </c>
      <c r="E2760" s="18">
        <v>8227</v>
      </c>
    </row>
    <row r="2761" spans="1:5" x14ac:dyDescent="0.25">
      <c r="A2761" s="18">
        <v>1976</v>
      </c>
      <c r="B2761" s="18" t="s">
        <v>40</v>
      </c>
      <c r="C2761" s="18">
        <v>0</v>
      </c>
      <c r="D2761" s="18">
        <v>0</v>
      </c>
      <c r="E2761" s="18">
        <v>0</v>
      </c>
    </row>
    <row r="2762" spans="1:5" x14ac:dyDescent="0.25">
      <c r="A2762" s="18">
        <v>1977</v>
      </c>
      <c r="B2762" s="18" t="s">
        <v>40</v>
      </c>
      <c r="C2762" s="18">
        <v>0</v>
      </c>
      <c r="D2762" s="18">
        <v>0</v>
      </c>
      <c r="E2762" s="18">
        <v>0</v>
      </c>
    </row>
    <row r="2763" spans="1:5" x14ac:dyDescent="0.25">
      <c r="A2763" s="18">
        <v>1978</v>
      </c>
      <c r="B2763" s="18" t="s">
        <v>40</v>
      </c>
      <c r="C2763" s="18">
        <v>0</v>
      </c>
      <c r="D2763" s="18">
        <v>0</v>
      </c>
      <c r="E2763" s="18">
        <v>0</v>
      </c>
    </row>
    <row r="2764" spans="1:5" x14ac:dyDescent="0.25">
      <c r="A2764" s="18">
        <v>1979</v>
      </c>
      <c r="B2764" s="18" t="s">
        <v>40</v>
      </c>
      <c r="C2764" s="18">
        <v>0</v>
      </c>
      <c r="D2764" s="18">
        <v>0</v>
      </c>
      <c r="E2764" s="18">
        <v>0</v>
      </c>
    </row>
    <row r="2765" spans="1:5" x14ac:dyDescent="0.25">
      <c r="A2765" s="18">
        <v>1980</v>
      </c>
      <c r="B2765" s="18" t="s">
        <v>40</v>
      </c>
      <c r="C2765" s="18">
        <v>4098</v>
      </c>
      <c r="D2765" s="18">
        <v>4039</v>
      </c>
      <c r="E2765" s="18">
        <v>8127</v>
      </c>
    </row>
    <row r="2766" spans="1:5" x14ac:dyDescent="0.25">
      <c r="A2766" s="18">
        <v>1981</v>
      </c>
      <c r="B2766" s="18" t="s">
        <v>40</v>
      </c>
      <c r="C2766" s="18">
        <v>0</v>
      </c>
      <c r="D2766" s="18">
        <v>0</v>
      </c>
      <c r="E2766" s="18">
        <v>0</v>
      </c>
    </row>
    <row r="2767" spans="1:5" x14ac:dyDescent="0.25">
      <c r="A2767" s="18">
        <v>1982</v>
      </c>
      <c r="B2767" s="18" t="s">
        <v>40</v>
      </c>
      <c r="C2767" s="18">
        <v>0</v>
      </c>
      <c r="D2767" s="18">
        <v>0</v>
      </c>
      <c r="E2767" s="18">
        <v>0</v>
      </c>
    </row>
    <row r="2768" spans="1:5" x14ac:dyDescent="0.25">
      <c r="A2768" s="18">
        <v>1983</v>
      </c>
      <c r="B2768" s="18" t="s">
        <v>40</v>
      </c>
      <c r="C2768" s="18">
        <v>0</v>
      </c>
      <c r="D2768" s="18">
        <v>0</v>
      </c>
      <c r="E2768" s="18">
        <v>0</v>
      </c>
    </row>
    <row r="2769" spans="1:5" x14ac:dyDescent="0.25">
      <c r="A2769" s="18">
        <v>1984</v>
      </c>
      <c r="B2769" s="18" t="s">
        <v>40</v>
      </c>
      <c r="C2769" s="18">
        <v>0</v>
      </c>
      <c r="D2769" s="18">
        <v>0</v>
      </c>
      <c r="E2769" s="18">
        <v>0</v>
      </c>
    </row>
    <row r="2770" spans="1:5" x14ac:dyDescent="0.25">
      <c r="A2770" s="18">
        <v>1985</v>
      </c>
      <c r="B2770" s="18" t="s">
        <v>40</v>
      </c>
      <c r="C2770" s="18">
        <v>3348</v>
      </c>
      <c r="D2770" s="18">
        <v>3296</v>
      </c>
      <c r="E2770" s="18">
        <v>6639</v>
      </c>
    </row>
    <row r="2771" spans="1:5" x14ac:dyDescent="0.25">
      <c r="A2771" s="18">
        <v>1986</v>
      </c>
      <c r="B2771" s="18" t="s">
        <v>40</v>
      </c>
      <c r="C2771" s="18">
        <v>0</v>
      </c>
      <c r="D2771" s="18">
        <v>0</v>
      </c>
      <c r="E2771" s="18">
        <v>0</v>
      </c>
    </row>
    <row r="2772" spans="1:5" x14ac:dyDescent="0.25">
      <c r="A2772" s="18">
        <v>1987</v>
      </c>
      <c r="B2772" s="18" t="s">
        <v>40</v>
      </c>
      <c r="C2772" s="18">
        <v>0</v>
      </c>
      <c r="D2772" s="18">
        <v>0</v>
      </c>
      <c r="E2772" s="18">
        <v>0</v>
      </c>
    </row>
    <row r="2773" spans="1:5" x14ac:dyDescent="0.25">
      <c r="A2773" s="18">
        <v>1988</v>
      </c>
      <c r="B2773" s="18" t="s">
        <v>40</v>
      </c>
      <c r="C2773" s="18">
        <v>0</v>
      </c>
      <c r="D2773" s="18">
        <v>0</v>
      </c>
      <c r="E2773" s="18">
        <v>0</v>
      </c>
    </row>
    <row r="2774" spans="1:5" x14ac:dyDescent="0.25">
      <c r="A2774" s="18">
        <v>1989</v>
      </c>
      <c r="B2774" s="18" t="s">
        <v>40</v>
      </c>
      <c r="C2774" s="18">
        <v>0</v>
      </c>
      <c r="D2774" s="18">
        <v>0</v>
      </c>
      <c r="E2774" s="18">
        <v>0</v>
      </c>
    </row>
    <row r="2775" spans="1:5" x14ac:dyDescent="0.25">
      <c r="A2775" s="18">
        <v>1990</v>
      </c>
      <c r="B2775" s="18" t="s">
        <v>40</v>
      </c>
      <c r="C2775" s="18">
        <v>3264</v>
      </c>
      <c r="D2775" s="18">
        <v>3442</v>
      </c>
      <c r="E2775" s="18">
        <v>6706</v>
      </c>
    </row>
    <row r="2776" spans="1:5" x14ac:dyDescent="0.25">
      <c r="A2776" s="18">
        <v>1991</v>
      </c>
      <c r="B2776" s="18" t="s">
        <v>40</v>
      </c>
      <c r="C2776" s="18">
        <v>0</v>
      </c>
      <c r="D2776" s="18">
        <v>0</v>
      </c>
      <c r="E2776" s="18">
        <v>0</v>
      </c>
    </row>
    <row r="2777" spans="1:5" x14ac:dyDescent="0.25">
      <c r="A2777" s="18">
        <v>1992</v>
      </c>
      <c r="B2777" s="18" t="s">
        <v>40</v>
      </c>
      <c r="C2777" s="18">
        <v>0</v>
      </c>
      <c r="D2777" s="18">
        <v>0</v>
      </c>
      <c r="E2777" s="18">
        <v>0</v>
      </c>
    </row>
    <row r="2778" spans="1:5" x14ac:dyDescent="0.25">
      <c r="A2778" s="18">
        <v>1993</v>
      </c>
      <c r="B2778" s="18" t="s">
        <v>40</v>
      </c>
      <c r="C2778" s="18">
        <v>0</v>
      </c>
      <c r="D2778" s="18">
        <v>0</v>
      </c>
      <c r="E2778" s="18">
        <v>0</v>
      </c>
    </row>
    <row r="2779" spans="1:5" x14ac:dyDescent="0.25">
      <c r="A2779" s="18">
        <v>1994</v>
      </c>
      <c r="B2779" s="18" t="s">
        <v>40</v>
      </c>
      <c r="C2779" s="18">
        <v>0</v>
      </c>
      <c r="D2779" s="18">
        <v>0</v>
      </c>
      <c r="E2779" s="18">
        <v>0</v>
      </c>
    </row>
    <row r="2780" spans="1:5" x14ac:dyDescent="0.25">
      <c r="A2780" s="18">
        <v>1995</v>
      </c>
      <c r="B2780" s="18" t="s">
        <v>40</v>
      </c>
      <c r="C2780" s="18">
        <v>0</v>
      </c>
      <c r="D2780" s="18">
        <v>0</v>
      </c>
      <c r="E2780" s="18">
        <v>0</v>
      </c>
    </row>
    <row r="2781" spans="1:5" x14ac:dyDescent="0.25">
      <c r="A2781" s="18">
        <v>1996</v>
      </c>
      <c r="B2781" s="18" t="s">
        <v>40</v>
      </c>
      <c r="C2781" s="18">
        <v>0</v>
      </c>
      <c r="D2781" s="18">
        <v>0</v>
      </c>
      <c r="E2781" s="18">
        <v>0</v>
      </c>
    </row>
    <row r="2782" spans="1:5" x14ac:dyDescent="0.25">
      <c r="A2782" s="18">
        <v>1997</v>
      </c>
      <c r="B2782" s="18" t="s">
        <v>40</v>
      </c>
      <c r="C2782" s="18">
        <v>0</v>
      </c>
      <c r="D2782" s="18">
        <v>0</v>
      </c>
      <c r="E2782" s="18">
        <v>0</v>
      </c>
    </row>
    <row r="2783" spans="1:5" x14ac:dyDescent="0.25">
      <c r="A2783" s="18">
        <v>1998</v>
      </c>
      <c r="B2783" s="18" t="s">
        <v>40</v>
      </c>
      <c r="C2783" s="18">
        <v>0</v>
      </c>
      <c r="D2783" s="18">
        <v>0</v>
      </c>
      <c r="E2783" s="18">
        <v>0</v>
      </c>
    </row>
    <row r="2784" spans="1:5" x14ac:dyDescent="0.25">
      <c r="A2784" s="18">
        <v>1999</v>
      </c>
      <c r="B2784" s="18" t="s">
        <v>40</v>
      </c>
      <c r="C2784" s="18">
        <v>0</v>
      </c>
      <c r="D2784" s="18">
        <v>0</v>
      </c>
      <c r="E2784" s="18">
        <v>0</v>
      </c>
    </row>
    <row r="2785" spans="1:5" x14ac:dyDescent="0.25">
      <c r="A2785" s="18">
        <v>2000</v>
      </c>
      <c r="B2785" s="18" t="s">
        <v>40</v>
      </c>
      <c r="C2785" s="18">
        <v>1666</v>
      </c>
      <c r="D2785" s="18">
        <v>1851</v>
      </c>
      <c r="E2785" s="18">
        <v>3517</v>
      </c>
    </row>
    <row r="2786" spans="1:5" x14ac:dyDescent="0.25">
      <c r="A2786" s="18">
        <v>2001</v>
      </c>
      <c r="B2786" s="18" t="s">
        <v>40</v>
      </c>
      <c r="C2786" s="18">
        <v>0</v>
      </c>
      <c r="D2786" s="18">
        <v>0</v>
      </c>
      <c r="E2786" s="18">
        <v>0</v>
      </c>
    </row>
    <row r="2787" spans="1:5" x14ac:dyDescent="0.25">
      <c r="A2787" s="18">
        <v>2002</v>
      </c>
      <c r="B2787" s="18" t="s">
        <v>40</v>
      </c>
      <c r="C2787" s="18">
        <v>0</v>
      </c>
      <c r="D2787" s="18">
        <v>0</v>
      </c>
      <c r="E2787" s="18">
        <v>0</v>
      </c>
    </row>
    <row r="2788" spans="1:5" x14ac:dyDescent="0.25">
      <c r="A2788" s="18">
        <v>2003</v>
      </c>
      <c r="B2788" s="18" t="s">
        <v>40</v>
      </c>
      <c r="C2788" s="18">
        <v>0</v>
      </c>
      <c r="D2788" s="18">
        <v>0</v>
      </c>
      <c r="E2788" s="18">
        <v>0</v>
      </c>
    </row>
    <row r="2789" spans="1:5" x14ac:dyDescent="0.25">
      <c r="A2789" s="18">
        <v>2004</v>
      </c>
      <c r="B2789" s="18" t="s">
        <v>40</v>
      </c>
      <c r="C2789" s="18">
        <v>0</v>
      </c>
      <c r="D2789" s="18">
        <v>0</v>
      </c>
      <c r="E2789" s="18">
        <v>0</v>
      </c>
    </row>
    <row r="2790" spans="1:5" x14ac:dyDescent="0.25">
      <c r="A2790" s="18">
        <v>2005</v>
      </c>
      <c r="B2790" s="18" t="s">
        <v>40</v>
      </c>
      <c r="C2790" s="18">
        <v>0</v>
      </c>
      <c r="D2790" s="18">
        <v>0</v>
      </c>
      <c r="E2790" s="18">
        <v>0</v>
      </c>
    </row>
    <row r="2791" spans="1:5" x14ac:dyDescent="0.25">
      <c r="A2791" s="18">
        <v>2006</v>
      </c>
      <c r="B2791" s="18" t="s">
        <v>40</v>
      </c>
      <c r="C2791" s="18">
        <v>0</v>
      </c>
      <c r="D2791" s="18">
        <v>0</v>
      </c>
      <c r="E2791" s="18">
        <v>0</v>
      </c>
    </row>
    <row r="2792" spans="1:5" x14ac:dyDescent="0.25">
      <c r="A2792" s="18">
        <v>2007</v>
      </c>
      <c r="B2792" s="18" t="s">
        <v>40</v>
      </c>
      <c r="C2792" s="18">
        <v>0</v>
      </c>
      <c r="D2792" s="18">
        <v>0</v>
      </c>
      <c r="E2792" s="18">
        <v>0</v>
      </c>
    </row>
    <row r="2793" spans="1:5" x14ac:dyDescent="0.25">
      <c r="A2793" s="18">
        <v>2008</v>
      </c>
      <c r="B2793" s="18" t="s">
        <v>40</v>
      </c>
      <c r="C2793" s="18">
        <v>0</v>
      </c>
      <c r="D2793" s="18">
        <v>0</v>
      </c>
      <c r="E2793" s="18">
        <v>0</v>
      </c>
    </row>
  </sheetData>
  <autoFilter ref="A1:D2793" xr:uid="{129C5C9F-CA64-405C-ABF8-2A1634F7F069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006B-E4AB-4EC5-8E3A-819F2F555FB3}">
  <dimension ref="A1:H128"/>
  <sheetViews>
    <sheetView workbookViewId="0">
      <selection activeCell="J2067" sqref="J2067"/>
    </sheetView>
  </sheetViews>
  <sheetFormatPr defaultRowHeight="15" x14ac:dyDescent="0.25"/>
  <cols>
    <col min="1" max="4" width="9.140625" style="18"/>
    <col min="5" max="16384" width="9.140625" style="17"/>
  </cols>
  <sheetData>
    <row r="1" spans="1:8" x14ac:dyDescent="0.25">
      <c r="A1" s="16" t="s">
        <v>103</v>
      </c>
      <c r="B1" s="16" t="s">
        <v>104</v>
      </c>
      <c r="C1" s="16" t="s">
        <v>91</v>
      </c>
      <c r="D1" s="16" t="s">
        <v>90</v>
      </c>
    </row>
    <row r="2" spans="1:8" x14ac:dyDescent="0.25">
      <c r="A2" s="18">
        <v>1993</v>
      </c>
      <c r="B2" s="18" t="s">
        <v>13</v>
      </c>
      <c r="E2" s="17">
        <v>1.184346035015448E-2</v>
      </c>
      <c r="F2" s="17">
        <v>-5.3219797764768491E-4</v>
      </c>
      <c r="G2" s="17">
        <f>ROUND(G3-G3*E3,0)</f>
        <v>278</v>
      </c>
      <c r="H2" s="17">
        <f>ROUND(H3-H3*F3,0)</f>
        <v>279</v>
      </c>
    </row>
    <row r="3" spans="1:8" x14ac:dyDescent="0.25">
      <c r="A3" s="18">
        <v>1994</v>
      </c>
      <c r="B3" s="18" t="s">
        <v>13</v>
      </c>
      <c r="E3" s="17">
        <v>1.1704834605597965E-2</v>
      </c>
      <c r="F3" s="17">
        <v>-5.3248136315228972E-4</v>
      </c>
      <c r="G3" s="17">
        <f t="shared" ref="G3:H8" si="0">ROUND(G4-G4*E4,0)</f>
        <v>281</v>
      </c>
      <c r="H3" s="17">
        <f t="shared" si="0"/>
        <v>279</v>
      </c>
    </row>
    <row r="4" spans="1:8" x14ac:dyDescent="0.25">
      <c r="A4" s="18">
        <v>1995</v>
      </c>
      <c r="B4" s="18" t="s">
        <v>13</v>
      </c>
      <c r="E4" s="17">
        <v>1.1569416498993963E-2</v>
      </c>
      <c r="F4" s="17">
        <v>-5.3276505061267978E-4</v>
      </c>
      <c r="G4" s="17">
        <f t="shared" si="0"/>
        <v>284</v>
      </c>
      <c r="H4" s="17">
        <f t="shared" si="0"/>
        <v>279</v>
      </c>
    </row>
    <row r="5" spans="1:8" x14ac:dyDescent="0.25">
      <c r="A5" s="18">
        <v>1996</v>
      </c>
      <c r="B5" s="18" t="s">
        <v>13</v>
      </c>
      <c r="E5" s="17">
        <v>1.093983092988563E-2</v>
      </c>
      <c r="F5" s="17">
        <v>-1.0660980810234541E-3</v>
      </c>
      <c r="G5" s="17">
        <f t="shared" si="0"/>
        <v>287</v>
      </c>
      <c r="H5" s="17">
        <f t="shared" si="0"/>
        <v>279</v>
      </c>
    </row>
    <row r="6" spans="1:8" x14ac:dyDescent="0.25">
      <c r="A6" s="18">
        <v>1997</v>
      </c>
      <c r="B6" s="18" t="s">
        <v>13</v>
      </c>
      <c r="E6" s="17">
        <v>1.1313330054107231E-2</v>
      </c>
      <c r="F6" s="17">
        <v>-5.3361792956243333E-4</v>
      </c>
      <c r="G6" s="17">
        <f t="shared" si="0"/>
        <v>290</v>
      </c>
      <c r="H6" s="17">
        <f t="shared" si="0"/>
        <v>279</v>
      </c>
    </row>
    <row r="7" spans="1:8" x14ac:dyDescent="0.25">
      <c r="A7" s="18">
        <v>1998</v>
      </c>
      <c r="B7" s="18" t="s">
        <v>13</v>
      </c>
      <c r="E7" s="17">
        <v>1.1186770428015564E-2</v>
      </c>
      <c r="F7" s="17">
        <v>-5.339028296849973E-4</v>
      </c>
      <c r="G7" s="17">
        <f t="shared" si="0"/>
        <v>293</v>
      </c>
      <c r="H7" s="17">
        <f t="shared" si="0"/>
        <v>279</v>
      </c>
    </row>
    <row r="8" spans="1:8" x14ac:dyDescent="0.25">
      <c r="A8" s="18">
        <v>1999</v>
      </c>
      <c r="B8" s="18" t="s">
        <v>13</v>
      </c>
      <c r="E8" s="17">
        <v>1.0582010582010581E-2</v>
      </c>
      <c r="F8" s="17">
        <v>-1.0683760683760685E-3</v>
      </c>
      <c r="G8" s="17">
        <f t="shared" si="0"/>
        <v>296</v>
      </c>
      <c r="H8" s="17">
        <f t="shared" si="0"/>
        <v>279</v>
      </c>
    </row>
    <row r="9" spans="1:8" x14ac:dyDescent="0.25">
      <c r="A9" s="18">
        <v>2000</v>
      </c>
      <c r="B9" s="18" t="s">
        <v>13</v>
      </c>
      <c r="C9" s="18">
        <v>299</v>
      </c>
      <c r="D9" s="18">
        <v>279</v>
      </c>
      <c r="E9" s="17">
        <v>1.0947168015230843E-2</v>
      </c>
      <c r="F9" s="17">
        <v>-5.3475935828877007E-4</v>
      </c>
      <c r="G9" s="17">
        <v>299</v>
      </c>
      <c r="H9" s="17">
        <v>279</v>
      </c>
    </row>
    <row r="10" spans="1:8" x14ac:dyDescent="0.25">
      <c r="A10" s="18">
        <v>2001</v>
      </c>
      <c r="B10" s="18" t="s">
        <v>13</v>
      </c>
      <c r="E10" s="17">
        <v>1.0828625235404897E-2</v>
      </c>
      <c r="F10" s="17">
        <v>-5.3504547886570354E-4</v>
      </c>
      <c r="G10" s="17">
        <f>ROUND(G9+G9*E10,0)</f>
        <v>302</v>
      </c>
      <c r="H10" s="17">
        <f>ROUND(H9+H9*F10,0)</f>
        <v>279</v>
      </c>
    </row>
    <row r="11" spans="1:8" x14ac:dyDescent="0.25">
      <c r="A11" s="18">
        <v>2002</v>
      </c>
      <c r="B11" s="18" t="s">
        <v>13</v>
      </c>
      <c r="E11" s="17">
        <v>1.0246856078248719E-2</v>
      </c>
      <c r="F11" s="17">
        <v>-1.0706638115631692E-3</v>
      </c>
      <c r="G11" s="17">
        <f t="shared" ref="G11:H17" si="1">ROUND(G10+G10*E11,0)</f>
        <v>305</v>
      </c>
      <c r="H11" s="17">
        <f t="shared" si="1"/>
        <v>279</v>
      </c>
    </row>
    <row r="12" spans="1:8" x14ac:dyDescent="0.25">
      <c r="A12" s="18">
        <v>2003</v>
      </c>
      <c r="B12" s="18" t="s">
        <v>13</v>
      </c>
      <c r="E12" s="17">
        <v>1.0603964960811434E-2</v>
      </c>
      <c r="F12" s="17">
        <v>-5.3590568060021436E-4</v>
      </c>
      <c r="G12" s="17">
        <f t="shared" si="1"/>
        <v>308</v>
      </c>
      <c r="H12" s="17">
        <f t="shared" si="1"/>
        <v>279</v>
      </c>
    </row>
    <row r="13" spans="1:8" x14ac:dyDescent="0.25">
      <c r="A13" s="18">
        <v>2004</v>
      </c>
      <c r="B13" s="18" t="s">
        <v>13</v>
      </c>
      <c r="E13" s="17">
        <v>1.0492700729927007E-2</v>
      </c>
      <c r="F13" s="17">
        <v>-5.3619302949061668E-4</v>
      </c>
      <c r="G13" s="17">
        <f t="shared" si="1"/>
        <v>311</v>
      </c>
      <c r="H13" s="17">
        <f t="shared" si="1"/>
        <v>279</v>
      </c>
    </row>
    <row r="14" spans="1:8" x14ac:dyDescent="0.25">
      <c r="A14" s="18">
        <v>2005</v>
      </c>
      <c r="B14" s="18" t="s">
        <v>13</v>
      </c>
      <c r="E14" s="17">
        <v>1.038374717832957E-2</v>
      </c>
      <c r="F14" s="17">
        <v>-1.0729613733905579E-3</v>
      </c>
      <c r="G14" s="17">
        <f t="shared" si="1"/>
        <v>314</v>
      </c>
      <c r="H14" s="17">
        <f t="shared" si="1"/>
        <v>279</v>
      </c>
    </row>
    <row r="15" spans="1:8" x14ac:dyDescent="0.25">
      <c r="A15" s="18">
        <v>2006</v>
      </c>
      <c r="B15" s="18" t="s">
        <v>13</v>
      </c>
      <c r="E15" s="17">
        <v>9.8302055406613055E-3</v>
      </c>
      <c r="F15" s="17">
        <v>-5.3705692803437163E-4</v>
      </c>
      <c r="G15" s="17">
        <f t="shared" si="1"/>
        <v>317</v>
      </c>
      <c r="H15" s="17">
        <f t="shared" si="1"/>
        <v>279</v>
      </c>
    </row>
    <row r="16" spans="1:8" x14ac:dyDescent="0.25">
      <c r="A16" s="18">
        <v>2007</v>
      </c>
      <c r="B16" s="18" t="s">
        <v>13</v>
      </c>
      <c r="E16" s="17">
        <v>1.0176991150442478E-2</v>
      </c>
      <c r="F16" s="17">
        <v>-5.3734551316496511E-4</v>
      </c>
      <c r="G16" s="17">
        <f t="shared" si="1"/>
        <v>320</v>
      </c>
      <c r="H16" s="17">
        <f t="shared" si="1"/>
        <v>279</v>
      </c>
    </row>
    <row r="17" spans="1:8" x14ac:dyDescent="0.25">
      <c r="A17" s="18">
        <v>2008</v>
      </c>
      <c r="B17" s="18" t="s">
        <v>13</v>
      </c>
      <c r="E17" s="17">
        <v>1.0074463425317565E-2</v>
      </c>
      <c r="F17" s="17">
        <v>-1.0752688172043011E-3</v>
      </c>
      <c r="G17" s="17">
        <f t="shared" si="1"/>
        <v>323</v>
      </c>
      <c r="H17" s="17">
        <f t="shared" si="1"/>
        <v>279</v>
      </c>
    </row>
    <row r="18" spans="1:8" x14ac:dyDescent="0.25">
      <c r="A18" s="18">
        <v>1992</v>
      </c>
      <c r="B18" s="18" t="s">
        <v>24</v>
      </c>
      <c r="E18" s="17">
        <v>-3.7023851904592384E-2</v>
      </c>
      <c r="F18" s="17">
        <v>-3.0041436464088397E-2</v>
      </c>
      <c r="G18" s="17">
        <f t="shared" ref="G18:G24" si="2">ROUND(G19-G19*E19,0)</f>
        <v>487</v>
      </c>
      <c r="H18" s="17">
        <f t="shared" ref="H18:H24" si="3">ROUND(H19-H19*F19,0)</f>
        <v>527</v>
      </c>
    </row>
    <row r="19" spans="1:8" x14ac:dyDescent="0.25">
      <c r="A19" s="18">
        <v>1993</v>
      </c>
      <c r="B19" s="18" t="s">
        <v>24</v>
      </c>
      <c r="E19" s="17">
        <v>-3.8817005545286505E-2</v>
      </c>
      <c r="F19" s="17">
        <v>-3.0615877536489856E-2</v>
      </c>
      <c r="G19" s="17">
        <f t="shared" si="2"/>
        <v>469</v>
      </c>
      <c r="H19" s="17">
        <f t="shared" si="3"/>
        <v>511</v>
      </c>
    </row>
    <row r="20" spans="1:8" x14ac:dyDescent="0.25">
      <c r="A20" s="18">
        <v>1994</v>
      </c>
      <c r="B20" s="18" t="s">
        <v>24</v>
      </c>
      <c r="E20" s="17">
        <v>-0.04</v>
      </c>
      <c r="F20" s="17">
        <v>-3.1582813073815642E-2</v>
      </c>
      <c r="G20" s="17">
        <f t="shared" si="2"/>
        <v>451</v>
      </c>
      <c r="H20" s="17">
        <f t="shared" si="3"/>
        <v>495</v>
      </c>
    </row>
    <row r="21" spans="1:8" x14ac:dyDescent="0.25">
      <c r="A21" s="18">
        <v>1995</v>
      </c>
      <c r="B21" s="18" t="s">
        <v>24</v>
      </c>
      <c r="E21" s="17">
        <v>-4.1666666666666664E-2</v>
      </c>
      <c r="F21" s="17">
        <v>-3.2992036405005691E-2</v>
      </c>
      <c r="G21" s="17">
        <f t="shared" si="2"/>
        <v>433</v>
      </c>
      <c r="H21" s="17">
        <f t="shared" si="3"/>
        <v>479</v>
      </c>
    </row>
    <row r="22" spans="1:8" x14ac:dyDescent="0.25">
      <c r="A22" s="18">
        <v>1996</v>
      </c>
      <c r="B22" s="18" t="s">
        <v>24</v>
      </c>
      <c r="E22" s="17">
        <v>-4.3478260869565216E-2</v>
      </c>
      <c r="F22" s="17">
        <v>-3.3725490196078428E-2</v>
      </c>
      <c r="G22" s="17">
        <f t="shared" si="2"/>
        <v>415</v>
      </c>
      <c r="H22" s="17">
        <f t="shared" si="3"/>
        <v>463</v>
      </c>
    </row>
    <row r="23" spans="1:8" x14ac:dyDescent="0.25">
      <c r="A23" s="18">
        <v>1997</v>
      </c>
      <c r="B23" s="18" t="s">
        <v>24</v>
      </c>
      <c r="E23" s="17">
        <v>-4.5891608391608392E-2</v>
      </c>
      <c r="F23" s="17">
        <v>-3.530844155844156E-2</v>
      </c>
      <c r="G23" s="17">
        <f t="shared" si="2"/>
        <v>397</v>
      </c>
      <c r="H23" s="17">
        <f t="shared" si="3"/>
        <v>447</v>
      </c>
    </row>
    <row r="24" spans="1:8" x14ac:dyDescent="0.25">
      <c r="A24" s="18">
        <v>1998</v>
      </c>
      <c r="B24" s="18" t="s">
        <v>24</v>
      </c>
      <c r="E24" s="17">
        <v>-4.7640861200183231E-2</v>
      </c>
      <c r="F24" s="17">
        <v>-3.6180058897770297E-2</v>
      </c>
      <c r="G24" s="17">
        <f t="shared" si="2"/>
        <v>379</v>
      </c>
      <c r="H24" s="17">
        <f t="shared" si="3"/>
        <v>431</v>
      </c>
    </row>
    <row r="25" spans="1:8" x14ac:dyDescent="0.25">
      <c r="A25" s="18">
        <v>1999</v>
      </c>
      <c r="B25" s="18" t="s">
        <v>24</v>
      </c>
      <c r="E25" s="17">
        <v>-5.0024050024050026E-2</v>
      </c>
      <c r="F25" s="17">
        <v>-3.7538192928852028E-2</v>
      </c>
      <c r="G25" s="17">
        <f t="shared" ref="G25" si="4">ROUND(G26-G26*E26,0)</f>
        <v>361</v>
      </c>
      <c r="H25" s="17">
        <f t="shared" ref="H25" si="5">ROUND(H26-H26*F26,0)</f>
        <v>415</v>
      </c>
    </row>
    <row r="26" spans="1:8" x14ac:dyDescent="0.25">
      <c r="A26" s="18">
        <v>2000</v>
      </c>
      <c r="B26" s="18" t="s">
        <v>24</v>
      </c>
      <c r="C26" s="18">
        <v>343</v>
      </c>
      <c r="D26" s="18">
        <v>399</v>
      </c>
      <c r="E26" s="17">
        <v>-5.2658227848101265E-2</v>
      </c>
      <c r="F26" s="17">
        <v>-3.9455782312925167E-2</v>
      </c>
      <c r="G26" s="17">
        <v>343</v>
      </c>
      <c r="H26" s="17">
        <v>399</v>
      </c>
    </row>
    <row r="27" spans="1:8" x14ac:dyDescent="0.25">
      <c r="A27" s="18">
        <v>2001</v>
      </c>
      <c r="B27" s="18" t="s">
        <v>24</v>
      </c>
      <c r="E27" s="17">
        <v>-5.5585248530197758E-2</v>
      </c>
      <c r="F27" s="17">
        <v>-4.0604343720491029E-2</v>
      </c>
      <c r="G27" s="17">
        <f t="shared" ref="G27" si="6">ROUND(G26+G26*E27,0)</f>
        <v>324</v>
      </c>
      <c r="H27" s="17">
        <f t="shared" ref="H27" si="7">ROUND(H26+H26*F27,0)</f>
        <v>383</v>
      </c>
    </row>
    <row r="28" spans="1:8" x14ac:dyDescent="0.25">
      <c r="A28" s="18">
        <v>2002</v>
      </c>
      <c r="B28" s="18" t="s">
        <v>24</v>
      </c>
      <c r="E28" s="17">
        <v>-5.9422750424448216E-2</v>
      </c>
      <c r="F28" s="17">
        <v>-4.2322834645669292E-2</v>
      </c>
      <c r="G28" s="17">
        <f t="shared" ref="G28:G34" si="8">ROUND(G27+G27*E28,0)</f>
        <v>305</v>
      </c>
      <c r="H28" s="17">
        <f t="shared" ref="H28:H34" si="9">ROUND(H27+H27*F28,0)</f>
        <v>367</v>
      </c>
    </row>
    <row r="29" spans="1:8" x14ac:dyDescent="0.25">
      <c r="A29" s="18">
        <v>2003</v>
      </c>
      <c r="B29" s="18" t="s">
        <v>24</v>
      </c>
      <c r="E29" s="17">
        <v>-6.2575210589651029E-2</v>
      </c>
      <c r="F29" s="17">
        <v>-4.4707091469681395E-2</v>
      </c>
      <c r="G29" s="17">
        <f t="shared" si="8"/>
        <v>286</v>
      </c>
      <c r="H29" s="17">
        <f t="shared" si="9"/>
        <v>351</v>
      </c>
    </row>
    <row r="30" spans="1:8" x14ac:dyDescent="0.25">
      <c r="A30" s="18">
        <v>2004</v>
      </c>
      <c r="B30" s="18" t="s">
        <v>24</v>
      </c>
      <c r="E30" s="17">
        <v>-6.6752246469833118E-2</v>
      </c>
      <c r="F30" s="17">
        <v>-4.6261430876815494E-2</v>
      </c>
      <c r="G30" s="17">
        <f t="shared" si="8"/>
        <v>267</v>
      </c>
      <c r="H30" s="17">
        <f t="shared" si="9"/>
        <v>335</v>
      </c>
    </row>
    <row r="31" spans="1:8" x14ac:dyDescent="0.25">
      <c r="A31" s="18">
        <v>2005</v>
      </c>
      <c r="B31" s="18" t="s">
        <v>24</v>
      </c>
      <c r="E31" s="17">
        <v>-7.1526822558459421E-2</v>
      </c>
      <c r="F31" s="17">
        <v>-4.8505358150028204E-2</v>
      </c>
      <c r="G31" s="17">
        <f t="shared" si="8"/>
        <v>248</v>
      </c>
      <c r="H31" s="17">
        <f t="shared" si="9"/>
        <v>319</v>
      </c>
    </row>
    <row r="32" spans="1:8" x14ac:dyDescent="0.25">
      <c r="A32" s="18">
        <v>2006</v>
      </c>
      <c r="B32" s="18" t="s">
        <v>24</v>
      </c>
      <c r="E32" s="17">
        <v>-7.7037037037037043E-2</v>
      </c>
      <c r="F32" s="17">
        <v>-5.1570835803200946E-2</v>
      </c>
      <c r="G32" s="17">
        <f t="shared" si="8"/>
        <v>229</v>
      </c>
      <c r="H32" s="17">
        <f t="shared" si="9"/>
        <v>303</v>
      </c>
    </row>
    <row r="33" spans="1:8" x14ac:dyDescent="0.25">
      <c r="A33" s="18">
        <v>2007</v>
      </c>
      <c r="B33" s="18" t="s">
        <v>24</v>
      </c>
      <c r="E33" s="17">
        <v>-8.4269662921348312E-2</v>
      </c>
      <c r="F33" s="17">
        <v>-5.3749999999999999E-2</v>
      </c>
      <c r="G33" s="17">
        <f t="shared" si="8"/>
        <v>210</v>
      </c>
      <c r="H33" s="17">
        <f t="shared" si="9"/>
        <v>287</v>
      </c>
    </row>
    <row r="34" spans="1:8" x14ac:dyDescent="0.25">
      <c r="A34" s="18">
        <v>2008</v>
      </c>
      <c r="B34" s="18" t="s">
        <v>24</v>
      </c>
      <c r="E34" s="17">
        <v>-9.1148115687992984E-2</v>
      </c>
      <c r="F34" s="17">
        <v>-5.746367239101717E-2</v>
      </c>
      <c r="G34" s="17">
        <f t="shared" si="8"/>
        <v>191</v>
      </c>
      <c r="H34" s="17">
        <f t="shared" si="9"/>
        <v>271</v>
      </c>
    </row>
    <row r="35" spans="1:8" x14ac:dyDescent="0.25">
      <c r="A35" s="18">
        <v>1991</v>
      </c>
      <c r="B35" s="18" t="s">
        <v>25</v>
      </c>
      <c r="E35" s="17">
        <v>-4.251299008030231E-3</v>
      </c>
      <c r="F35" s="17">
        <v>-7.3275862068965516E-3</v>
      </c>
      <c r="G35" s="17">
        <f t="shared" ref="G35" si="10">ROUND(G36-G36*E36,0)</f>
        <v>4133</v>
      </c>
      <c r="H35" s="17">
        <f t="shared" ref="H35" si="11">ROUND(H36-H36*F36,0)</f>
        <v>4468</v>
      </c>
    </row>
    <row r="36" spans="1:8" x14ac:dyDescent="0.25">
      <c r="A36" s="18">
        <v>1992</v>
      </c>
      <c r="B36" s="18" t="s">
        <v>25</v>
      </c>
      <c r="E36" s="17">
        <v>-4.2694497153700191E-3</v>
      </c>
      <c r="F36" s="17">
        <v>-6.9474598349978291E-3</v>
      </c>
      <c r="G36" s="17">
        <f t="shared" ref="G36:G43" si="12">ROUND(G37-G37*E37,0)</f>
        <v>4115</v>
      </c>
      <c r="H36" s="17">
        <f t="shared" ref="H36:H43" si="13">ROUND(H37-H37*F37,0)</f>
        <v>4437</v>
      </c>
    </row>
    <row r="37" spans="1:8" x14ac:dyDescent="0.25">
      <c r="A37" s="18">
        <v>1993</v>
      </c>
      <c r="B37" s="18" t="s">
        <v>25</v>
      </c>
      <c r="E37" s="17">
        <v>-4.287756074321105E-3</v>
      </c>
      <c r="F37" s="17">
        <v>-6.996064713598601E-3</v>
      </c>
      <c r="G37" s="17">
        <f t="shared" si="12"/>
        <v>4097</v>
      </c>
      <c r="H37" s="17">
        <f t="shared" si="13"/>
        <v>4406</v>
      </c>
    </row>
    <row r="38" spans="1:8" x14ac:dyDescent="0.25">
      <c r="A38" s="18">
        <v>1994</v>
      </c>
      <c r="B38" s="18" t="s">
        <v>25</v>
      </c>
      <c r="E38" s="17">
        <v>-4.3062200956937796E-3</v>
      </c>
      <c r="F38" s="17">
        <v>-7.485689123734038E-3</v>
      </c>
      <c r="G38" s="17">
        <f t="shared" si="12"/>
        <v>4079</v>
      </c>
      <c r="H38" s="17">
        <f t="shared" si="13"/>
        <v>4373</v>
      </c>
    </row>
    <row r="39" spans="1:8" x14ac:dyDescent="0.25">
      <c r="A39" s="18">
        <v>1995</v>
      </c>
      <c r="B39" s="18" t="s">
        <v>25</v>
      </c>
      <c r="E39" s="17">
        <v>-4.324843825084094E-3</v>
      </c>
      <c r="F39" s="17">
        <v>-7.0984915705412602E-3</v>
      </c>
      <c r="G39" s="17">
        <f t="shared" si="12"/>
        <v>4061</v>
      </c>
      <c r="H39" s="17">
        <f t="shared" si="13"/>
        <v>4342</v>
      </c>
    </row>
    <row r="40" spans="1:8" x14ac:dyDescent="0.25">
      <c r="A40" s="18">
        <v>1996</v>
      </c>
      <c r="B40" s="18" t="s">
        <v>25</v>
      </c>
      <c r="E40" s="17">
        <v>-3.8610038610038611E-3</v>
      </c>
      <c r="F40" s="17">
        <v>-7.596067917783735E-3</v>
      </c>
      <c r="G40" s="17">
        <f t="shared" si="12"/>
        <v>4045</v>
      </c>
      <c r="H40" s="17">
        <f t="shared" si="13"/>
        <v>4309</v>
      </c>
    </row>
    <row r="41" spans="1:8" x14ac:dyDescent="0.25">
      <c r="A41" s="18">
        <v>1997</v>
      </c>
      <c r="B41" s="18" t="s">
        <v>25</v>
      </c>
      <c r="E41" s="17">
        <v>-4.3604651162790697E-3</v>
      </c>
      <c r="F41" s="17">
        <v>-7.2039621791985592E-3</v>
      </c>
      <c r="G41" s="17">
        <f t="shared" si="12"/>
        <v>4027</v>
      </c>
      <c r="H41" s="17">
        <f t="shared" si="13"/>
        <v>4278</v>
      </c>
    </row>
    <row r="42" spans="1:8" x14ac:dyDescent="0.25">
      <c r="A42" s="18">
        <v>1998</v>
      </c>
      <c r="B42" s="18" t="s">
        <v>25</v>
      </c>
      <c r="E42" s="17">
        <v>-4.3795620437956208E-3</v>
      </c>
      <c r="F42" s="17">
        <v>-7.7097505668934242E-3</v>
      </c>
      <c r="G42" s="17">
        <f t="shared" si="12"/>
        <v>4009</v>
      </c>
      <c r="H42" s="17">
        <f t="shared" si="13"/>
        <v>4245</v>
      </c>
    </row>
    <row r="43" spans="1:8" x14ac:dyDescent="0.25">
      <c r="A43" s="18">
        <v>1999</v>
      </c>
      <c r="B43" s="18" t="s">
        <v>25</v>
      </c>
      <c r="E43" s="17">
        <v>-4.3988269794721412E-3</v>
      </c>
      <c r="F43" s="17">
        <v>-7.3126142595978062E-3</v>
      </c>
      <c r="G43" s="17">
        <f t="shared" si="12"/>
        <v>3991</v>
      </c>
      <c r="H43" s="17">
        <f t="shared" si="13"/>
        <v>4214</v>
      </c>
    </row>
    <row r="44" spans="1:8" x14ac:dyDescent="0.25">
      <c r="A44" s="18">
        <v>2000</v>
      </c>
      <c r="B44" s="18" t="s">
        <v>25</v>
      </c>
      <c r="C44" s="18">
        <v>3973</v>
      </c>
      <c r="D44" s="18">
        <v>4183</v>
      </c>
      <c r="E44" s="17">
        <v>-4.418262150220913E-3</v>
      </c>
      <c r="F44" s="17">
        <v>-7.3664825046040518E-3</v>
      </c>
      <c r="G44" s="17">
        <v>3973</v>
      </c>
      <c r="H44" s="17">
        <v>4183</v>
      </c>
    </row>
    <row r="45" spans="1:8" x14ac:dyDescent="0.25">
      <c r="A45" s="18">
        <v>2001</v>
      </c>
      <c r="B45" s="18" t="s">
        <v>25</v>
      </c>
      <c r="E45" s="17">
        <v>-4.4378698224852072E-3</v>
      </c>
      <c r="F45" s="17">
        <v>-7.8849721706864568E-3</v>
      </c>
      <c r="G45" s="17">
        <f t="shared" ref="G45" si="14">ROUND(G44+G44*E45,0)</f>
        <v>3955</v>
      </c>
      <c r="H45" s="17">
        <f t="shared" ref="H45" si="15">ROUND(H44+H44*F45,0)</f>
        <v>4150</v>
      </c>
    </row>
    <row r="46" spans="1:8" x14ac:dyDescent="0.25">
      <c r="A46" s="18">
        <v>2002</v>
      </c>
      <c r="B46" s="18" t="s">
        <v>25</v>
      </c>
      <c r="E46" s="17">
        <v>-4.4576523031203564E-3</v>
      </c>
      <c r="F46" s="17">
        <v>-7.4801309022907905E-3</v>
      </c>
      <c r="G46" s="17">
        <f t="shared" ref="G46:G52" si="16">ROUND(G45+G45*E46,0)</f>
        <v>3937</v>
      </c>
      <c r="H46" s="17">
        <f t="shared" ref="H46:H52" si="17">ROUND(H45+H45*F46,0)</f>
        <v>4119</v>
      </c>
    </row>
    <row r="47" spans="1:8" x14ac:dyDescent="0.25">
      <c r="A47" s="18">
        <v>2003</v>
      </c>
      <c r="B47" s="18" t="s">
        <v>25</v>
      </c>
      <c r="E47" s="17">
        <v>-4.4776119402985077E-3</v>
      </c>
      <c r="F47" s="17">
        <v>-8.0075365049458308E-3</v>
      </c>
      <c r="G47" s="17">
        <f t="shared" si="16"/>
        <v>3919</v>
      </c>
      <c r="H47" s="17">
        <f t="shared" si="17"/>
        <v>4086</v>
      </c>
    </row>
    <row r="48" spans="1:8" x14ac:dyDescent="0.25">
      <c r="A48" s="18">
        <v>2004</v>
      </c>
      <c r="B48" s="18" t="s">
        <v>25</v>
      </c>
      <c r="E48" s="17">
        <v>-4.4977511244377807E-3</v>
      </c>
      <c r="F48" s="17">
        <v>-7.5973409306742644E-3</v>
      </c>
      <c r="G48" s="17">
        <f t="shared" si="16"/>
        <v>3901</v>
      </c>
      <c r="H48" s="17">
        <f t="shared" si="17"/>
        <v>4055</v>
      </c>
    </row>
    <row r="49" spans="1:8" x14ac:dyDescent="0.25">
      <c r="A49" s="18">
        <v>2005</v>
      </c>
      <c r="B49" s="18" t="s">
        <v>25</v>
      </c>
      <c r="E49" s="17">
        <v>-4.5180722891566263E-3</v>
      </c>
      <c r="F49" s="17">
        <v>-8.1339712918660281E-3</v>
      </c>
      <c r="G49" s="17">
        <f t="shared" si="16"/>
        <v>3883</v>
      </c>
      <c r="H49" s="17">
        <f t="shared" si="17"/>
        <v>4022</v>
      </c>
    </row>
    <row r="50" spans="1:8" x14ac:dyDescent="0.25">
      <c r="A50" s="18">
        <v>2006</v>
      </c>
      <c r="B50" s="18" t="s">
        <v>25</v>
      </c>
      <c r="E50" s="17">
        <v>-4.5385779122541605E-3</v>
      </c>
      <c r="F50" s="17">
        <v>-7.7182826821032323E-3</v>
      </c>
      <c r="G50" s="17">
        <f t="shared" si="16"/>
        <v>3865</v>
      </c>
      <c r="H50" s="17">
        <f t="shared" si="17"/>
        <v>3991</v>
      </c>
    </row>
    <row r="51" spans="1:8" x14ac:dyDescent="0.25">
      <c r="A51" s="18">
        <v>2007</v>
      </c>
      <c r="B51" s="18" t="s">
        <v>25</v>
      </c>
      <c r="E51" s="17">
        <v>-4.559270516717325E-3</v>
      </c>
      <c r="F51" s="17">
        <v>-7.7783179387457459E-3</v>
      </c>
      <c r="G51" s="17">
        <f t="shared" si="16"/>
        <v>3847</v>
      </c>
      <c r="H51" s="17">
        <f t="shared" si="17"/>
        <v>3960</v>
      </c>
    </row>
    <row r="52" spans="1:8" x14ac:dyDescent="0.25">
      <c r="A52" s="18">
        <v>2008</v>
      </c>
      <c r="B52" s="18" t="s">
        <v>25</v>
      </c>
      <c r="E52" s="17">
        <v>-4.5801526717557254E-3</v>
      </c>
      <c r="F52" s="17">
        <v>-8.3292503674669283E-3</v>
      </c>
      <c r="G52" s="17">
        <f t="shared" si="16"/>
        <v>3829</v>
      </c>
      <c r="H52" s="17">
        <f t="shared" si="17"/>
        <v>3927</v>
      </c>
    </row>
    <row r="53" spans="1:8" x14ac:dyDescent="0.25">
      <c r="A53" s="18">
        <v>2000</v>
      </c>
      <c r="B53" s="18" t="s">
        <v>42</v>
      </c>
      <c r="C53" s="18">
        <v>980</v>
      </c>
      <c r="D53" s="18">
        <v>924</v>
      </c>
      <c r="E53" s="17">
        <v>-3.7894736842105266E-2</v>
      </c>
      <c r="F53" s="17">
        <v>-1.8867924528301886E-2</v>
      </c>
      <c r="G53" s="17">
        <v>980</v>
      </c>
      <c r="H53" s="17">
        <v>924</v>
      </c>
    </row>
    <row r="54" spans="1:8" x14ac:dyDescent="0.25">
      <c r="A54" s="18">
        <v>2001</v>
      </c>
      <c r="B54" s="18" t="s">
        <v>42</v>
      </c>
      <c r="E54" s="17">
        <v>-3.9387308533916851E-2</v>
      </c>
      <c r="F54" s="17">
        <v>-1.9230769230769232E-2</v>
      </c>
      <c r="G54" s="17">
        <f t="shared" ref="G54" si="18">ROUND(G53+G53*E54,0)</f>
        <v>941</v>
      </c>
      <c r="H54" s="17">
        <f t="shared" ref="H54" si="19">ROUND(H53+H53*F54,0)</f>
        <v>906</v>
      </c>
    </row>
    <row r="55" spans="1:8" x14ac:dyDescent="0.25">
      <c r="A55" s="18">
        <v>2002</v>
      </c>
      <c r="B55" s="18" t="s">
        <v>42</v>
      </c>
      <c r="E55" s="17">
        <v>-4.1002277904328019E-2</v>
      </c>
      <c r="F55" s="17">
        <v>-2.0541549953314659E-2</v>
      </c>
      <c r="G55" s="17">
        <f t="shared" ref="G55:G61" si="20">ROUND(G54+G54*E55,0)</f>
        <v>902</v>
      </c>
      <c r="H55" s="17">
        <f t="shared" ref="H55:H61" si="21">ROUND(H54+H54*F55,0)</f>
        <v>887</v>
      </c>
    </row>
    <row r="56" spans="1:8" x14ac:dyDescent="0.25">
      <c r="A56" s="18">
        <v>2003</v>
      </c>
      <c r="B56" s="18" t="s">
        <v>42</v>
      </c>
      <c r="E56" s="17">
        <v>-4.2755344418052253E-2</v>
      </c>
      <c r="F56" s="17">
        <v>-2.0019065776930411E-2</v>
      </c>
      <c r="G56" s="17">
        <f t="shared" si="20"/>
        <v>863</v>
      </c>
      <c r="H56" s="17">
        <f t="shared" si="21"/>
        <v>869</v>
      </c>
    </row>
    <row r="57" spans="1:8" x14ac:dyDescent="0.25">
      <c r="A57" s="18">
        <v>2004</v>
      </c>
      <c r="B57" s="18" t="s">
        <v>42</v>
      </c>
      <c r="E57" s="17">
        <v>-4.4665012406947889E-2</v>
      </c>
      <c r="F57" s="17">
        <v>-2.0428015564202335E-2</v>
      </c>
      <c r="G57" s="17">
        <f t="shared" si="20"/>
        <v>824</v>
      </c>
      <c r="H57" s="17">
        <f t="shared" si="21"/>
        <v>851</v>
      </c>
    </row>
    <row r="58" spans="1:8" x14ac:dyDescent="0.25">
      <c r="A58" s="18">
        <v>2005</v>
      </c>
      <c r="B58" s="18" t="s">
        <v>42</v>
      </c>
      <c r="E58" s="17">
        <v>-4.6753246753246755E-2</v>
      </c>
      <c r="F58" s="17">
        <v>-2.0854021847070508E-2</v>
      </c>
      <c r="G58" s="17">
        <f t="shared" si="20"/>
        <v>785</v>
      </c>
      <c r="H58" s="17">
        <f t="shared" si="21"/>
        <v>833</v>
      </c>
    </row>
    <row r="59" spans="1:8" x14ac:dyDescent="0.25">
      <c r="A59" s="18">
        <v>2006</v>
      </c>
      <c r="B59" s="18" t="s">
        <v>42</v>
      </c>
      <c r="E59" s="17">
        <v>-4.9046321525885561E-2</v>
      </c>
      <c r="F59" s="17">
        <v>-2.1298174442190669E-2</v>
      </c>
      <c r="G59" s="17">
        <f t="shared" si="20"/>
        <v>746</v>
      </c>
      <c r="H59" s="17">
        <f t="shared" si="21"/>
        <v>815</v>
      </c>
    </row>
    <row r="60" spans="1:8" x14ac:dyDescent="0.25">
      <c r="A60" s="18">
        <v>2007</v>
      </c>
      <c r="B60" s="18" t="s">
        <v>42</v>
      </c>
      <c r="E60" s="17">
        <v>-5.1575931232091692E-2</v>
      </c>
      <c r="F60" s="17">
        <v>-2.2797927461139896E-2</v>
      </c>
      <c r="G60" s="17">
        <f t="shared" si="20"/>
        <v>708</v>
      </c>
      <c r="H60" s="17">
        <f t="shared" si="21"/>
        <v>796</v>
      </c>
    </row>
    <row r="61" spans="1:8" x14ac:dyDescent="0.25">
      <c r="A61" s="18">
        <v>2008</v>
      </c>
      <c r="B61" s="18" t="s">
        <v>42</v>
      </c>
      <c r="E61" s="17">
        <v>-5.4380664652567974E-2</v>
      </c>
      <c r="F61" s="17">
        <v>-2.2269353128313893E-2</v>
      </c>
      <c r="G61" s="17">
        <f t="shared" si="20"/>
        <v>669</v>
      </c>
      <c r="H61" s="17">
        <f t="shared" si="21"/>
        <v>778</v>
      </c>
    </row>
    <row r="62" spans="1:8" x14ac:dyDescent="0.25">
      <c r="A62" s="18">
        <v>1993</v>
      </c>
      <c r="B62" s="18" t="s">
        <v>51</v>
      </c>
      <c r="E62" s="17">
        <v>1.184346035015448E-2</v>
      </c>
      <c r="F62" s="17">
        <v>-5.3219797764768491E-4</v>
      </c>
      <c r="G62" s="17">
        <f>ROUND(G63-G63*E63,0)</f>
        <v>840</v>
      </c>
      <c r="H62" s="17">
        <f>ROUND(H63-H63*F63,0)</f>
        <v>1103</v>
      </c>
    </row>
    <row r="63" spans="1:8" x14ac:dyDescent="0.25">
      <c r="A63" s="18">
        <v>1994</v>
      </c>
      <c r="B63" s="18" t="s">
        <v>51</v>
      </c>
      <c r="E63" s="17">
        <v>1.1704834605597965E-2</v>
      </c>
      <c r="F63" s="17">
        <v>-5.3248136315228972E-4</v>
      </c>
      <c r="G63" s="17">
        <f t="shared" ref="G63:G68" si="22">ROUND(G64-G64*E64,0)</f>
        <v>850</v>
      </c>
      <c r="H63" s="17">
        <f t="shared" ref="H63:H68" si="23">ROUND(H64-H64*F64,0)</f>
        <v>1102</v>
      </c>
    </row>
    <row r="64" spans="1:8" x14ac:dyDescent="0.25">
      <c r="A64" s="18">
        <v>1995</v>
      </c>
      <c r="B64" s="18" t="s">
        <v>51</v>
      </c>
      <c r="E64" s="17">
        <v>1.1569416498993963E-2</v>
      </c>
      <c r="F64" s="17">
        <v>-5.3276505061267978E-4</v>
      </c>
      <c r="G64" s="17">
        <f t="shared" si="22"/>
        <v>860</v>
      </c>
      <c r="H64" s="17">
        <f t="shared" si="23"/>
        <v>1101</v>
      </c>
    </row>
    <row r="65" spans="1:8" x14ac:dyDescent="0.25">
      <c r="A65" s="18">
        <v>1996</v>
      </c>
      <c r="B65" s="18" t="s">
        <v>51</v>
      </c>
      <c r="E65" s="17">
        <v>1.093983092988563E-2</v>
      </c>
      <c r="F65" s="17">
        <v>-1.0660980810234541E-3</v>
      </c>
      <c r="G65" s="17">
        <f t="shared" si="22"/>
        <v>870</v>
      </c>
      <c r="H65" s="17">
        <f t="shared" si="23"/>
        <v>1100</v>
      </c>
    </row>
    <row r="66" spans="1:8" x14ac:dyDescent="0.25">
      <c r="A66" s="18">
        <v>1997</v>
      </c>
      <c r="B66" s="18" t="s">
        <v>51</v>
      </c>
      <c r="E66" s="17">
        <v>1.1313330054107231E-2</v>
      </c>
      <c r="F66" s="17">
        <v>-5.3361792956243333E-4</v>
      </c>
      <c r="G66" s="17">
        <f t="shared" si="22"/>
        <v>880</v>
      </c>
      <c r="H66" s="17">
        <f t="shared" si="23"/>
        <v>1099</v>
      </c>
    </row>
    <row r="67" spans="1:8" x14ac:dyDescent="0.25">
      <c r="A67" s="18">
        <v>1998</v>
      </c>
      <c r="B67" s="18" t="s">
        <v>51</v>
      </c>
      <c r="E67" s="17">
        <v>1.1186770428015564E-2</v>
      </c>
      <c r="F67" s="17">
        <v>-5.339028296849973E-4</v>
      </c>
      <c r="G67" s="17">
        <f t="shared" si="22"/>
        <v>890</v>
      </c>
      <c r="H67" s="17">
        <f t="shared" si="23"/>
        <v>1098</v>
      </c>
    </row>
    <row r="68" spans="1:8" x14ac:dyDescent="0.25">
      <c r="A68" s="18">
        <v>1999</v>
      </c>
      <c r="B68" s="18" t="s">
        <v>51</v>
      </c>
      <c r="E68" s="17">
        <v>1.0582010582010581E-2</v>
      </c>
      <c r="F68" s="17">
        <v>-1.0683760683760685E-3</v>
      </c>
      <c r="G68" s="17">
        <f t="shared" si="22"/>
        <v>900</v>
      </c>
      <c r="H68" s="17">
        <f t="shared" si="23"/>
        <v>1097</v>
      </c>
    </row>
    <row r="69" spans="1:8" x14ac:dyDescent="0.25">
      <c r="A69" s="18">
        <v>2000</v>
      </c>
      <c r="B69" s="18" t="s">
        <v>51</v>
      </c>
      <c r="C69" s="18">
        <v>910</v>
      </c>
      <c r="D69" s="18">
        <v>1096</v>
      </c>
      <c r="E69" s="17">
        <v>1.0947168015230843E-2</v>
      </c>
      <c r="F69" s="17">
        <v>-5.3475935828877007E-4</v>
      </c>
      <c r="G69" s="17">
        <v>910</v>
      </c>
      <c r="H69" s="17">
        <v>1096</v>
      </c>
    </row>
    <row r="70" spans="1:8" x14ac:dyDescent="0.25">
      <c r="A70" s="18">
        <v>2001</v>
      </c>
      <c r="B70" s="18" t="s">
        <v>51</v>
      </c>
      <c r="E70" s="17">
        <v>1.0828625235404897E-2</v>
      </c>
      <c r="F70" s="17">
        <v>-5.3504547886570354E-4</v>
      </c>
      <c r="G70" s="17">
        <f>ROUND(G69+G69*E70,0)</f>
        <v>920</v>
      </c>
      <c r="H70" s="17">
        <f>ROUND(H69+H69*F70,0)</f>
        <v>1095</v>
      </c>
    </row>
    <row r="71" spans="1:8" x14ac:dyDescent="0.25">
      <c r="A71" s="18">
        <v>2002</v>
      </c>
      <c r="B71" s="18" t="s">
        <v>51</v>
      </c>
      <c r="E71" s="17">
        <v>1.0246856078248719E-2</v>
      </c>
      <c r="F71" s="17">
        <v>-1.0706638115631692E-3</v>
      </c>
      <c r="G71" s="17">
        <f t="shared" ref="G71:G77" si="24">ROUND(G70+G70*E71,0)</f>
        <v>929</v>
      </c>
      <c r="H71" s="17">
        <f t="shared" ref="H71:H77" si="25">ROUND(H70+H70*F71,0)</f>
        <v>1094</v>
      </c>
    </row>
    <row r="72" spans="1:8" x14ac:dyDescent="0.25">
      <c r="A72" s="18">
        <v>2003</v>
      </c>
      <c r="B72" s="18" t="s">
        <v>51</v>
      </c>
      <c r="E72" s="17">
        <v>1.0603964960811434E-2</v>
      </c>
      <c r="F72" s="17">
        <v>-5.3590568060021436E-4</v>
      </c>
      <c r="G72" s="17">
        <f t="shared" si="24"/>
        <v>939</v>
      </c>
      <c r="H72" s="17">
        <f t="shared" si="25"/>
        <v>1093</v>
      </c>
    </row>
    <row r="73" spans="1:8" x14ac:dyDescent="0.25">
      <c r="A73" s="18">
        <v>2004</v>
      </c>
      <c r="B73" s="18" t="s">
        <v>51</v>
      </c>
      <c r="E73" s="17">
        <v>1.0492700729927007E-2</v>
      </c>
      <c r="F73" s="17">
        <v>-5.3619302949061668E-4</v>
      </c>
      <c r="G73" s="17">
        <f t="shared" si="24"/>
        <v>949</v>
      </c>
      <c r="H73" s="17">
        <f t="shared" si="25"/>
        <v>1092</v>
      </c>
    </row>
    <row r="74" spans="1:8" x14ac:dyDescent="0.25">
      <c r="A74" s="18">
        <v>2005</v>
      </c>
      <c r="B74" s="18" t="s">
        <v>51</v>
      </c>
      <c r="E74" s="17">
        <v>1.038374717832957E-2</v>
      </c>
      <c r="F74" s="17">
        <v>-1.0729613733905579E-3</v>
      </c>
      <c r="G74" s="17">
        <f t="shared" si="24"/>
        <v>959</v>
      </c>
      <c r="H74" s="17">
        <f t="shared" si="25"/>
        <v>1091</v>
      </c>
    </row>
    <row r="75" spans="1:8" x14ac:dyDescent="0.25">
      <c r="A75" s="18">
        <v>2006</v>
      </c>
      <c r="B75" s="18" t="s">
        <v>51</v>
      </c>
      <c r="E75" s="17">
        <v>9.8302055406613055E-3</v>
      </c>
      <c r="F75" s="17">
        <v>-5.3705692803437163E-4</v>
      </c>
      <c r="G75" s="17">
        <f t="shared" si="24"/>
        <v>968</v>
      </c>
      <c r="H75" s="17">
        <f t="shared" si="25"/>
        <v>1090</v>
      </c>
    </row>
    <row r="76" spans="1:8" x14ac:dyDescent="0.25">
      <c r="A76" s="18">
        <v>2007</v>
      </c>
      <c r="B76" s="18" t="s">
        <v>51</v>
      </c>
      <c r="E76" s="17">
        <v>1.0176991150442478E-2</v>
      </c>
      <c r="F76" s="17">
        <v>-5.3734551316496511E-4</v>
      </c>
      <c r="G76" s="17">
        <f t="shared" si="24"/>
        <v>978</v>
      </c>
      <c r="H76" s="17">
        <f t="shared" si="25"/>
        <v>1089</v>
      </c>
    </row>
    <row r="77" spans="1:8" x14ac:dyDescent="0.25">
      <c r="A77" s="18">
        <v>2008</v>
      </c>
      <c r="B77" s="18" t="s">
        <v>51</v>
      </c>
      <c r="E77" s="17">
        <v>1.0074463425317565E-2</v>
      </c>
      <c r="F77" s="17">
        <v>-1.0752688172043011E-3</v>
      </c>
      <c r="G77" s="17">
        <f t="shared" si="24"/>
        <v>988</v>
      </c>
      <c r="H77" s="17">
        <f t="shared" si="25"/>
        <v>1088</v>
      </c>
    </row>
    <row r="78" spans="1:8" x14ac:dyDescent="0.25">
      <c r="A78" s="18">
        <v>1996</v>
      </c>
      <c r="B78" s="18" t="s">
        <v>54</v>
      </c>
      <c r="E78" s="17">
        <v>-4.3478260869565216E-2</v>
      </c>
      <c r="F78" s="17">
        <v>-3.3725490196078428E-2</v>
      </c>
      <c r="G78" s="17">
        <f t="shared" ref="G78:G81" si="26">ROUND(G79-G79*E79,0)</f>
        <v>1396</v>
      </c>
      <c r="H78" s="17">
        <f t="shared" ref="H78:H81" si="27">ROUND(H79-H79*F79,0)</f>
        <v>1443</v>
      </c>
    </row>
    <row r="79" spans="1:8" x14ac:dyDescent="0.25">
      <c r="A79" s="18">
        <v>1997</v>
      </c>
      <c r="B79" s="18" t="s">
        <v>54</v>
      </c>
      <c r="E79" s="17">
        <v>-4.5891608391608392E-2</v>
      </c>
      <c r="F79" s="17">
        <v>-3.530844155844156E-2</v>
      </c>
      <c r="G79" s="17">
        <f t="shared" si="26"/>
        <v>1335</v>
      </c>
      <c r="H79" s="17">
        <f t="shared" si="27"/>
        <v>1394</v>
      </c>
    </row>
    <row r="80" spans="1:8" x14ac:dyDescent="0.25">
      <c r="A80" s="18">
        <v>1998</v>
      </c>
      <c r="B80" s="18" t="s">
        <v>54</v>
      </c>
      <c r="E80" s="17">
        <v>-4.7640861200183231E-2</v>
      </c>
      <c r="F80" s="17">
        <v>-3.6180058897770297E-2</v>
      </c>
      <c r="G80" s="17">
        <f t="shared" si="26"/>
        <v>1274</v>
      </c>
      <c r="H80" s="17">
        <f t="shared" si="27"/>
        <v>1345</v>
      </c>
    </row>
    <row r="81" spans="1:8" x14ac:dyDescent="0.25">
      <c r="A81" s="18">
        <v>1999</v>
      </c>
      <c r="B81" s="18" t="s">
        <v>54</v>
      </c>
      <c r="E81" s="17">
        <v>-5.0024050024050026E-2</v>
      </c>
      <c r="F81" s="17">
        <v>-3.7538192928852028E-2</v>
      </c>
      <c r="G81" s="17">
        <f t="shared" si="26"/>
        <v>1213</v>
      </c>
      <c r="H81" s="17">
        <f t="shared" si="27"/>
        <v>1296</v>
      </c>
    </row>
    <row r="82" spans="1:8" x14ac:dyDescent="0.25">
      <c r="A82" s="18">
        <v>2000</v>
      </c>
      <c r="B82" s="18" t="s">
        <v>54</v>
      </c>
      <c r="C82" s="18">
        <v>1152</v>
      </c>
      <c r="D82" s="18">
        <v>1247</v>
      </c>
      <c r="E82" s="17">
        <v>-5.2658227848101265E-2</v>
      </c>
      <c r="F82" s="17">
        <v>-3.9455782312925167E-2</v>
      </c>
      <c r="G82" s="17">
        <v>1152</v>
      </c>
      <c r="H82" s="17">
        <v>1247</v>
      </c>
    </row>
    <row r="83" spans="1:8" x14ac:dyDescent="0.25">
      <c r="A83" s="18">
        <v>2001</v>
      </c>
      <c r="B83" s="18" t="s">
        <v>54</v>
      </c>
      <c r="E83" s="17">
        <v>-5.5585248530197758E-2</v>
      </c>
      <c r="F83" s="17">
        <v>-4.0604343720491029E-2</v>
      </c>
      <c r="G83" s="17">
        <f t="shared" ref="G83:G90" si="28">ROUND(G82+G82*E83,0)</f>
        <v>1088</v>
      </c>
      <c r="H83" s="17">
        <f t="shared" ref="H83:H90" si="29">ROUND(H82+H82*F83,0)</f>
        <v>1196</v>
      </c>
    </row>
    <row r="84" spans="1:8" x14ac:dyDescent="0.25">
      <c r="A84" s="18">
        <v>2002</v>
      </c>
      <c r="B84" s="18" t="s">
        <v>54</v>
      </c>
      <c r="E84" s="17">
        <v>-5.9422750424448216E-2</v>
      </c>
      <c r="F84" s="17">
        <v>-4.2322834645669292E-2</v>
      </c>
      <c r="G84" s="17">
        <f t="shared" si="28"/>
        <v>1023</v>
      </c>
      <c r="H84" s="17">
        <f t="shared" si="29"/>
        <v>1145</v>
      </c>
    </row>
    <row r="85" spans="1:8" x14ac:dyDescent="0.25">
      <c r="A85" s="18">
        <v>2003</v>
      </c>
      <c r="B85" s="18" t="s">
        <v>54</v>
      </c>
      <c r="E85" s="17">
        <v>-6.2575210589651029E-2</v>
      </c>
      <c r="F85" s="17">
        <v>-4.4707091469681395E-2</v>
      </c>
      <c r="G85" s="17">
        <f t="shared" si="28"/>
        <v>959</v>
      </c>
      <c r="H85" s="17">
        <f t="shared" si="29"/>
        <v>1094</v>
      </c>
    </row>
    <row r="86" spans="1:8" x14ac:dyDescent="0.25">
      <c r="A86" s="18">
        <v>2004</v>
      </c>
      <c r="B86" s="18" t="s">
        <v>54</v>
      </c>
      <c r="E86" s="17">
        <v>-6.6752246469833118E-2</v>
      </c>
      <c r="F86" s="17">
        <v>-4.6261430876815494E-2</v>
      </c>
      <c r="G86" s="17">
        <f t="shared" si="28"/>
        <v>895</v>
      </c>
      <c r="H86" s="17">
        <f t="shared" si="29"/>
        <v>1043</v>
      </c>
    </row>
    <row r="87" spans="1:8" x14ac:dyDescent="0.25">
      <c r="A87" s="18">
        <v>2005</v>
      </c>
      <c r="B87" s="18" t="s">
        <v>54</v>
      </c>
      <c r="E87" s="17">
        <v>-7.1526822558459421E-2</v>
      </c>
      <c r="F87" s="17">
        <v>-4.8505358150028204E-2</v>
      </c>
      <c r="G87" s="17">
        <f t="shared" si="28"/>
        <v>831</v>
      </c>
      <c r="H87" s="17">
        <f t="shared" si="29"/>
        <v>992</v>
      </c>
    </row>
    <row r="88" spans="1:8" x14ac:dyDescent="0.25">
      <c r="A88" s="18">
        <v>2006</v>
      </c>
      <c r="B88" s="18" t="s">
        <v>54</v>
      </c>
      <c r="E88" s="17">
        <v>-7.7037037037037043E-2</v>
      </c>
      <c r="F88" s="17">
        <v>-5.1570835803200946E-2</v>
      </c>
      <c r="G88" s="17">
        <f t="shared" si="28"/>
        <v>767</v>
      </c>
      <c r="H88" s="17">
        <f t="shared" si="29"/>
        <v>941</v>
      </c>
    </row>
    <row r="89" spans="1:8" x14ac:dyDescent="0.25">
      <c r="A89" s="18">
        <v>2007</v>
      </c>
      <c r="B89" s="18" t="s">
        <v>54</v>
      </c>
      <c r="E89" s="17">
        <v>-8.4269662921348312E-2</v>
      </c>
      <c r="F89" s="17">
        <v>-5.3749999999999999E-2</v>
      </c>
      <c r="G89" s="17">
        <f t="shared" si="28"/>
        <v>702</v>
      </c>
      <c r="H89" s="17">
        <f t="shared" si="29"/>
        <v>890</v>
      </c>
    </row>
    <row r="90" spans="1:8" x14ac:dyDescent="0.25">
      <c r="A90" s="18">
        <v>2008</v>
      </c>
      <c r="B90" s="18" t="s">
        <v>54</v>
      </c>
      <c r="E90" s="17">
        <v>-9.1148115687992984E-2</v>
      </c>
      <c r="F90" s="17">
        <v>-5.746367239101717E-2</v>
      </c>
      <c r="G90" s="17">
        <f t="shared" si="28"/>
        <v>638</v>
      </c>
      <c r="H90" s="17">
        <f t="shared" si="29"/>
        <v>839</v>
      </c>
    </row>
    <row r="91" spans="1:8" x14ac:dyDescent="0.25">
      <c r="A91" s="18">
        <v>1996</v>
      </c>
      <c r="B91" s="18" t="s">
        <v>59</v>
      </c>
      <c r="E91" s="17">
        <v>2.5620567375886524E-2</v>
      </c>
      <c r="F91" s="17">
        <v>2.4330072309655466E-2</v>
      </c>
      <c r="G91" s="17">
        <f t="shared" ref="G91:G93" si="30">ROUND(G92-G92*E92,0)</f>
        <v>690</v>
      </c>
      <c r="H91" s="17">
        <f t="shared" ref="H91:H93" si="31">ROUND(H92-H92*F92,0)</f>
        <v>772</v>
      </c>
    </row>
    <row r="92" spans="1:8" x14ac:dyDescent="0.25">
      <c r="A92" s="18">
        <v>1997</v>
      </c>
      <c r="B92" s="18" t="s">
        <v>59</v>
      </c>
      <c r="E92" s="17">
        <v>2.4980551473766099E-2</v>
      </c>
      <c r="F92" s="17">
        <v>2.3835229632090359E-2</v>
      </c>
      <c r="G92" s="17">
        <f t="shared" si="30"/>
        <v>708</v>
      </c>
      <c r="H92" s="17">
        <f t="shared" si="31"/>
        <v>791</v>
      </c>
    </row>
    <row r="93" spans="1:8" x14ac:dyDescent="0.25">
      <c r="A93" s="18">
        <v>1998</v>
      </c>
      <c r="B93" s="18" t="s">
        <v>59</v>
      </c>
      <c r="E93" s="17">
        <v>2.4371732163939955E-2</v>
      </c>
      <c r="F93" s="17">
        <v>2.3280337443218689E-2</v>
      </c>
      <c r="G93" s="17">
        <f t="shared" si="30"/>
        <v>726</v>
      </c>
      <c r="H93" s="17">
        <f t="shared" si="31"/>
        <v>810</v>
      </c>
    </row>
    <row r="94" spans="1:8" x14ac:dyDescent="0.25">
      <c r="A94" s="18">
        <v>1999</v>
      </c>
      <c r="B94" s="18" t="s">
        <v>59</v>
      </c>
      <c r="E94" s="17">
        <v>2.3791882769408083E-2</v>
      </c>
      <c r="F94" s="17">
        <v>2.2750693618707886E-2</v>
      </c>
      <c r="G94" s="17">
        <f t="shared" ref="G94" si="32">ROUND(G95-G95*E95,0)</f>
        <v>744</v>
      </c>
      <c r="H94" s="17">
        <f t="shared" ref="H94" si="33">ROUND(H95-H95*F95,0)</f>
        <v>829</v>
      </c>
    </row>
    <row r="95" spans="1:8" x14ac:dyDescent="0.25">
      <c r="A95" s="18">
        <v>2000</v>
      </c>
      <c r="B95" s="18" t="s">
        <v>59</v>
      </c>
      <c r="C95" s="18">
        <v>762</v>
      </c>
      <c r="D95" s="18">
        <v>848</v>
      </c>
      <c r="E95" s="17">
        <v>2.3238983596011578E-2</v>
      </c>
      <c r="F95" s="17">
        <v>2.2244613238257636E-2</v>
      </c>
      <c r="G95" s="17">
        <v>762</v>
      </c>
      <c r="H95" s="17">
        <v>848</v>
      </c>
    </row>
    <row r="96" spans="1:8" x14ac:dyDescent="0.25">
      <c r="A96" s="18">
        <v>2001</v>
      </c>
      <c r="B96" s="18" t="s">
        <v>59</v>
      </c>
      <c r="E96" s="17">
        <v>2.2711198428290766E-2</v>
      </c>
      <c r="F96" s="17">
        <v>2.1760558040791567E-2</v>
      </c>
      <c r="G96" s="17">
        <f t="shared" ref="G96" si="34">ROUND(G95+G95*E96,0)</f>
        <v>779</v>
      </c>
      <c r="H96" s="17">
        <f t="shared" ref="H96" si="35">ROUND(H95+H95*F96,0)</f>
        <v>866</v>
      </c>
    </row>
    <row r="97" spans="1:8" x14ac:dyDescent="0.25">
      <c r="A97" s="18">
        <v>2002</v>
      </c>
      <c r="B97" s="18" t="s">
        <v>59</v>
      </c>
      <c r="E97" s="17">
        <v>2.2206854157061626E-2</v>
      </c>
      <c r="F97" s="17">
        <v>2.1297120807361236E-2</v>
      </c>
      <c r="G97" s="17">
        <f t="shared" ref="G97:G103" si="36">ROUND(G96+G96*E97,0)</f>
        <v>796</v>
      </c>
      <c r="H97" s="17">
        <f t="shared" ref="H97:H103" si="37">ROUND(H96+H96*F97,0)</f>
        <v>884</v>
      </c>
    </row>
    <row r="98" spans="1:8" x14ac:dyDescent="0.25">
      <c r="A98" s="18">
        <v>2003</v>
      </c>
      <c r="B98" s="18" t="s">
        <v>59</v>
      </c>
      <c r="E98" s="17">
        <v>2.1799594076524091E-2</v>
      </c>
      <c r="F98" s="17">
        <v>2.0853011698030954E-2</v>
      </c>
      <c r="G98" s="17">
        <f t="shared" si="36"/>
        <v>813</v>
      </c>
      <c r="H98" s="17">
        <f t="shared" si="37"/>
        <v>902</v>
      </c>
    </row>
    <row r="99" spans="1:8" x14ac:dyDescent="0.25">
      <c r="A99" s="18">
        <v>2004</v>
      </c>
      <c r="B99" s="18" t="s">
        <v>59</v>
      </c>
      <c r="E99" s="17">
        <v>2.1260943132494665E-2</v>
      </c>
      <c r="F99" s="17">
        <v>2.0427046263345197E-2</v>
      </c>
      <c r="G99" s="17">
        <f t="shared" si="36"/>
        <v>830</v>
      </c>
      <c r="H99" s="17">
        <f t="shared" si="37"/>
        <v>920</v>
      </c>
    </row>
    <row r="100" spans="1:8" x14ac:dyDescent="0.25">
      <c r="A100" s="18">
        <v>2005</v>
      </c>
      <c r="B100" s="18" t="s">
        <v>59</v>
      </c>
      <c r="E100" s="17">
        <v>2.0818325889641262E-2</v>
      </c>
      <c r="F100" s="17">
        <v>2.0018134895724349E-2</v>
      </c>
      <c r="G100" s="17">
        <f t="shared" si="36"/>
        <v>847</v>
      </c>
      <c r="H100" s="17">
        <f t="shared" si="37"/>
        <v>938</v>
      </c>
    </row>
    <row r="101" spans="1:8" x14ac:dyDescent="0.25">
      <c r="A101" s="18">
        <v>2006</v>
      </c>
      <c r="B101" s="18" t="s">
        <v>59</v>
      </c>
      <c r="E101" s="17">
        <v>2.0393761908122223E-2</v>
      </c>
      <c r="F101" s="17">
        <v>1.9625273522975929E-2</v>
      </c>
      <c r="G101" s="17">
        <f t="shared" si="36"/>
        <v>864</v>
      </c>
      <c r="H101" s="17">
        <f t="shared" si="37"/>
        <v>956</v>
      </c>
    </row>
    <row r="102" spans="1:8" x14ac:dyDescent="0.25">
      <c r="A102" s="18">
        <v>2007</v>
      </c>
      <c r="B102" s="18" t="s">
        <v>59</v>
      </c>
      <c r="E102" s="17">
        <v>1.9986168741355462E-2</v>
      </c>
      <c r="F102" s="17">
        <v>1.9247535376567634E-2</v>
      </c>
      <c r="G102" s="17">
        <f t="shared" si="36"/>
        <v>881</v>
      </c>
      <c r="H102" s="17">
        <f t="shared" si="37"/>
        <v>974</v>
      </c>
    </row>
    <row r="103" spans="1:8" x14ac:dyDescent="0.25">
      <c r="A103" s="18">
        <v>2008</v>
      </c>
      <c r="B103" s="18" t="s">
        <v>59</v>
      </c>
      <c r="E103" s="17">
        <v>1.9594548782968336E-2</v>
      </c>
      <c r="F103" s="17">
        <v>1.888406369259113E-2</v>
      </c>
      <c r="G103" s="17">
        <f t="shared" si="36"/>
        <v>898</v>
      </c>
      <c r="H103" s="17">
        <f t="shared" si="37"/>
        <v>992</v>
      </c>
    </row>
    <row r="104" spans="1:8" x14ac:dyDescent="0.25">
      <c r="A104" s="18">
        <v>1997</v>
      </c>
      <c r="B104" s="18" t="s">
        <v>72</v>
      </c>
      <c r="E104" s="17">
        <v>1.7175311345285344E-2</v>
      </c>
      <c r="F104" s="17">
        <v>1.6942448414529632E-2</v>
      </c>
      <c r="G104" s="17">
        <f t="shared" ref="G104:G105" si="38">ROUND(G105-G105*E105,0)</f>
        <v>3044</v>
      </c>
      <c r="H104" s="17">
        <f t="shared" ref="H104:H105" si="39">ROUND(H105-H105*F105,0)</f>
        <v>3290</v>
      </c>
    </row>
    <row r="105" spans="1:8" x14ac:dyDescent="0.25">
      <c r="A105" s="18">
        <v>1998</v>
      </c>
      <c r="B105" s="18" t="s">
        <v>72</v>
      </c>
      <c r="E105" s="17">
        <v>1.6952573158425834E-2</v>
      </c>
      <c r="F105" s="17">
        <v>1.66601841047582E-2</v>
      </c>
      <c r="G105" s="17">
        <f t="shared" si="38"/>
        <v>3097</v>
      </c>
      <c r="H105" s="17">
        <f t="shared" si="39"/>
        <v>3346</v>
      </c>
    </row>
    <row r="106" spans="1:8" x14ac:dyDescent="0.25">
      <c r="A106" s="18">
        <v>1999</v>
      </c>
      <c r="B106" s="18" t="s">
        <v>72</v>
      </c>
      <c r="E106" s="17">
        <v>1.6669974201230404E-2</v>
      </c>
      <c r="F106" s="17">
        <v>1.6387170821909075E-2</v>
      </c>
      <c r="G106" s="17">
        <f t="shared" ref="G106" si="40">ROUND(G107-G107*E107,0)</f>
        <v>3150</v>
      </c>
      <c r="H106" s="17">
        <f t="shared" ref="H106" si="41">ROUND(H107-H107*F107,0)</f>
        <v>3402</v>
      </c>
    </row>
    <row r="107" spans="1:8" x14ac:dyDescent="0.25">
      <c r="A107" s="18">
        <v>2000</v>
      </c>
      <c r="B107" s="18" t="s">
        <v>72</v>
      </c>
      <c r="C107" s="18">
        <v>3202</v>
      </c>
      <c r="D107" s="18">
        <v>3458</v>
      </c>
      <c r="E107" s="17">
        <v>1.633157655019845E-2</v>
      </c>
      <c r="F107" s="17">
        <v>1.6122961104140528E-2</v>
      </c>
      <c r="G107" s="17">
        <v>3202</v>
      </c>
      <c r="H107" s="17">
        <v>3458</v>
      </c>
    </row>
    <row r="108" spans="1:8" x14ac:dyDescent="0.25">
      <c r="A108" s="18">
        <v>2001</v>
      </c>
      <c r="B108" s="18" t="s">
        <v>72</v>
      </c>
      <c r="E108" s="17">
        <v>1.6133162612035852E-2</v>
      </c>
      <c r="F108" s="17">
        <v>1.5867135889362227E-2</v>
      </c>
      <c r="G108" s="17">
        <f t="shared" ref="G108" si="42">ROUND(G107+G107*E108,0)</f>
        <v>3254</v>
      </c>
      <c r="H108" s="17">
        <f t="shared" ref="H108" si="43">ROUND(H107+H107*F108,0)</f>
        <v>3513</v>
      </c>
    </row>
    <row r="109" spans="1:8" x14ac:dyDescent="0.25">
      <c r="A109" s="18">
        <v>2002</v>
      </c>
      <c r="B109" s="18" t="s">
        <v>72</v>
      </c>
      <c r="E109" s="17">
        <v>1.5877016129032258E-2</v>
      </c>
      <c r="F109" s="17">
        <v>1.5619302297313724E-2</v>
      </c>
      <c r="G109" s="17">
        <f t="shared" ref="G109:G115" si="44">ROUND(G108+G108*E109,0)</f>
        <v>3306</v>
      </c>
      <c r="H109" s="17">
        <f t="shared" ref="H109:H115" si="45">ROUND(H108+H108*F109,0)</f>
        <v>3568</v>
      </c>
    </row>
    <row r="110" spans="1:8" x14ac:dyDescent="0.25">
      <c r="A110" s="18">
        <v>2003</v>
      </c>
      <c r="B110" s="18" t="s">
        <v>72</v>
      </c>
      <c r="E110" s="17">
        <v>1.5566856859340113E-2</v>
      </c>
      <c r="F110" s="17">
        <v>1.537909161630064E-2</v>
      </c>
      <c r="G110" s="17">
        <f t="shared" si="44"/>
        <v>3357</v>
      </c>
      <c r="H110" s="17">
        <f t="shared" si="45"/>
        <v>3623</v>
      </c>
    </row>
    <row r="111" spans="1:8" x14ac:dyDescent="0.25">
      <c r="A111" s="18">
        <v>2004</v>
      </c>
      <c r="B111" s="18" t="s">
        <v>72</v>
      </c>
      <c r="E111" s="17">
        <v>1.5389312977099237E-2</v>
      </c>
      <c r="F111" s="17">
        <v>1.5146157472890146E-2</v>
      </c>
      <c r="G111" s="17">
        <f t="shared" si="44"/>
        <v>3409</v>
      </c>
      <c r="H111" s="17">
        <f t="shared" si="45"/>
        <v>3678</v>
      </c>
    </row>
    <row r="112" spans="1:8" x14ac:dyDescent="0.25">
      <c r="A112" s="18">
        <v>2005</v>
      </c>
      <c r="B112" s="18" t="s">
        <v>72</v>
      </c>
      <c r="E112" s="17">
        <v>1.5156071450051121E-2</v>
      </c>
      <c r="F112" s="17">
        <v>1.4862119013062409E-2</v>
      </c>
      <c r="G112" s="17">
        <f t="shared" si="44"/>
        <v>3461</v>
      </c>
      <c r="H112" s="17">
        <f t="shared" si="45"/>
        <v>3733</v>
      </c>
    </row>
    <row r="113" spans="1:8" x14ac:dyDescent="0.25">
      <c r="A113" s="18">
        <v>2006</v>
      </c>
      <c r="B113" s="18" t="s">
        <v>72</v>
      </c>
      <c r="E113" s="17">
        <v>1.4929794419100658E-2</v>
      </c>
      <c r="F113" s="17">
        <v>1.4701676105485955E-2</v>
      </c>
      <c r="G113" s="17">
        <f t="shared" si="44"/>
        <v>3513</v>
      </c>
      <c r="H113" s="17">
        <f t="shared" si="45"/>
        <v>3788</v>
      </c>
    </row>
    <row r="114" spans="1:8" x14ac:dyDescent="0.25">
      <c r="A114" s="18">
        <v>2007</v>
      </c>
      <c r="B114" s="18" t="s">
        <v>72</v>
      </c>
      <c r="E114" s="17">
        <v>1.465180082890666E-2</v>
      </c>
      <c r="F114" s="17">
        <v>1.4488668395535009E-2</v>
      </c>
      <c r="G114" s="17">
        <f t="shared" si="44"/>
        <v>3564</v>
      </c>
      <c r="H114" s="17">
        <f t="shared" si="45"/>
        <v>3843</v>
      </c>
    </row>
    <row r="115" spans="1:8" x14ac:dyDescent="0.25">
      <c r="A115" s="18">
        <v>2008</v>
      </c>
      <c r="B115" s="18" t="s">
        <v>72</v>
      </c>
      <c r="E115" s="17">
        <v>1.4497756299620296E-2</v>
      </c>
      <c r="F115" s="17">
        <v>1.4281744929146986E-2</v>
      </c>
      <c r="G115" s="17">
        <f t="shared" si="44"/>
        <v>3616</v>
      </c>
      <c r="H115" s="17">
        <f t="shared" si="45"/>
        <v>3898</v>
      </c>
    </row>
    <row r="116" spans="1:8" x14ac:dyDescent="0.25">
      <c r="A116" s="18">
        <v>1996</v>
      </c>
      <c r="B116" s="18" t="s">
        <v>85</v>
      </c>
      <c r="E116" s="17">
        <v>1.8599216875078945E-2</v>
      </c>
      <c r="F116" s="17">
        <v>2.445135521525741E-2</v>
      </c>
      <c r="G116" s="17">
        <f t="shared" ref="G116:G118" si="46">ROUND(G117-G117*E117,0)</f>
        <v>603</v>
      </c>
      <c r="H116" s="17">
        <f t="shared" ref="H116:H118" si="47">ROUND(H117-H117*F117,0)</f>
        <v>656</v>
      </c>
    </row>
    <row r="117" spans="1:8" x14ac:dyDescent="0.25">
      <c r="A117" s="18">
        <v>1997</v>
      </c>
      <c r="B117" s="18" t="s">
        <v>85</v>
      </c>
      <c r="E117" s="17">
        <v>1.8259602566884706E-2</v>
      </c>
      <c r="F117" s="17">
        <v>2.3882143062669045E-2</v>
      </c>
      <c r="G117" s="17">
        <f t="shared" si="46"/>
        <v>614</v>
      </c>
      <c r="H117" s="17">
        <f t="shared" si="47"/>
        <v>672</v>
      </c>
    </row>
    <row r="118" spans="1:8" x14ac:dyDescent="0.25">
      <c r="A118" s="18">
        <v>1998</v>
      </c>
      <c r="B118" s="18" t="s">
        <v>85</v>
      </c>
      <c r="E118" s="17">
        <v>1.7932168300554101E-2</v>
      </c>
      <c r="F118" s="17">
        <v>2.3311038669064747E-2</v>
      </c>
      <c r="G118" s="17">
        <f t="shared" si="46"/>
        <v>625</v>
      </c>
      <c r="H118" s="17">
        <f t="shared" si="47"/>
        <v>688</v>
      </c>
    </row>
    <row r="119" spans="1:8" x14ac:dyDescent="0.25">
      <c r="A119" s="18">
        <v>1999</v>
      </c>
      <c r="B119" s="18" t="s">
        <v>85</v>
      </c>
      <c r="E119" s="17">
        <v>1.7616270375355167E-2</v>
      </c>
      <c r="F119" s="17">
        <v>2.2793744078432449E-2</v>
      </c>
      <c r="G119" s="17">
        <f t="shared" ref="G119" si="48">ROUND(G120-G120*E120,0)</f>
        <v>636</v>
      </c>
      <c r="H119" s="17">
        <f t="shared" ref="H119" si="49">ROUND(H120-H120*F120,0)</f>
        <v>704</v>
      </c>
    </row>
    <row r="120" spans="1:8" x14ac:dyDescent="0.25">
      <c r="A120" s="18">
        <v>2000</v>
      </c>
      <c r="B120" s="18" t="s">
        <v>85</v>
      </c>
      <c r="C120" s="18">
        <v>681</v>
      </c>
      <c r="D120" s="18">
        <v>726</v>
      </c>
      <c r="E120" s="17">
        <v>6.5659534446273218E-2</v>
      </c>
      <c r="F120" s="17">
        <v>3.0542242270463302E-2</v>
      </c>
      <c r="G120" s="17">
        <v>681</v>
      </c>
      <c r="H120" s="17">
        <v>726</v>
      </c>
    </row>
    <row r="121" spans="1:8" x14ac:dyDescent="0.25">
      <c r="A121" s="18">
        <v>2001</v>
      </c>
      <c r="B121" s="18" t="s">
        <v>85</v>
      </c>
      <c r="E121" s="17">
        <v>-2.9124606983286446E-2</v>
      </c>
      <c r="F121" s="17">
        <v>1.3587452124749225E-2</v>
      </c>
      <c r="G121" s="17">
        <f t="shared" ref="G121" si="50">ROUND(G120+G120*E121,0)</f>
        <v>661</v>
      </c>
      <c r="H121" s="17">
        <f t="shared" ref="H121" si="51">ROUND(H120+H120*F121,0)</f>
        <v>736</v>
      </c>
    </row>
    <row r="122" spans="1:8" x14ac:dyDescent="0.25">
      <c r="A122" s="18">
        <v>2002</v>
      </c>
      <c r="B122" s="18" t="s">
        <v>85</v>
      </c>
      <c r="E122" s="17">
        <v>1.6732003863416851E-2</v>
      </c>
      <c r="F122" s="17">
        <v>2.1335389756442388E-2</v>
      </c>
      <c r="G122" s="17">
        <f t="shared" ref="G122:G128" si="52">ROUND(G121+G121*E122,0)</f>
        <v>672</v>
      </c>
      <c r="H122" s="17">
        <f t="shared" ref="H122:H128" si="53">ROUND(H121+H121*F122,0)</f>
        <v>752</v>
      </c>
    </row>
    <row r="123" spans="1:8" x14ac:dyDescent="0.25">
      <c r="A123" s="18">
        <v>2003</v>
      </c>
      <c r="B123" s="18" t="s">
        <v>85</v>
      </c>
      <c r="E123" s="17">
        <v>1.64566511134084E-2</v>
      </c>
      <c r="F123" s="17">
        <v>2.0877115711319449E-2</v>
      </c>
      <c r="G123" s="17">
        <f t="shared" si="52"/>
        <v>683</v>
      </c>
      <c r="H123" s="17">
        <f t="shared" si="53"/>
        <v>768</v>
      </c>
    </row>
    <row r="124" spans="1:8" x14ac:dyDescent="0.25">
      <c r="A124" s="18">
        <v>2004</v>
      </c>
      <c r="B124" s="18" t="s">
        <v>85</v>
      </c>
      <c r="E124" s="17">
        <v>1.6190214403518418E-2</v>
      </c>
      <c r="F124" s="17">
        <v>2.046250184902125E-2</v>
      </c>
      <c r="G124" s="17">
        <f t="shared" si="52"/>
        <v>694</v>
      </c>
      <c r="H124" s="17">
        <f t="shared" si="53"/>
        <v>784</v>
      </c>
    </row>
    <row r="125" spans="1:8" x14ac:dyDescent="0.25">
      <c r="A125" s="18">
        <v>2005</v>
      </c>
      <c r="B125" s="18" t="s">
        <v>85</v>
      </c>
      <c r="E125" s="17">
        <v>1.5918742730395737E-2</v>
      </c>
      <c r="F125" s="17">
        <v>2.0040104367993816E-2</v>
      </c>
      <c r="G125" s="17">
        <f t="shared" si="52"/>
        <v>705</v>
      </c>
      <c r="H125" s="17">
        <f t="shared" si="53"/>
        <v>800</v>
      </c>
    </row>
    <row r="126" spans="1:8" x14ac:dyDescent="0.25">
      <c r="A126" s="18">
        <v>2006</v>
      </c>
      <c r="B126" s="18" t="s">
        <v>85</v>
      </c>
      <c r="E126" s="17">
        <v>1.5682619982693203E-2</v>
      </c>
      <c r="F126" s="17">
        <v>1.9646388688227562E-2</v>
      </c>
      <c r="G126" s="17">
        <f t="shared" si="52"/>
        <v>716</v>
      </c>
      <c r="H126" s="17">
        <f t="shared" si="53"/>
        <v>816</v>
      </c>
    </row>
    <row r="127" spans="1:8" x14ac:dyDescent="0.25">
      <c r="A127" s="18">
        <v>2007</v>
      </c>
      <c r="B127" s="18" t="s">
        <v>85</v>
      </c>
      <c r="E127" s="17">
        <v>1.5440472913635589E-2</v>
      </c>
      <c r="F127" s="17">
        <v>1.9279459246010544E-2</v>
      </c>
      <c r="G127" s="17">
        <f t="shared" si="52"/>
        <v>727</v>
      </c>
      <c r="H127" s="17">
        <f t="shared" si="53"/>
        <v>832</v>
      </c>
    </row>
    <row r="128" spans="1:8" x14ac:dyDescent="0.25">
      <c r="A128" s="18">
        <v>2008</v>
      </c>
      <c r="B128" s="18" t="s">
        <v>85</v>
      </c>
      <c r="E128" s="17">
        <v>1.5205689871048521E-2</v>
      </c>
      <c r="F128" s="17">
        <v>1.8903397825938334E-2</v>
      </c>
      <c r="G128" s="17">
        <f t="shared" si="52"/>
        <v>738</v>
      </c>
      <c r="H128" s="17">
        <f t="shared" si="53"/>
        <v>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76C6-CF28-4A43-B2C0-353BBFEBD87F}">
  <dimension ref="A1:E216"/>
  <sheetViews>
    <sheetView workbookViewId="0">
      <selection activeCell="J2067" sqref="J2067"/>
    </sheetView>
  </sheetViews>
  <sheetFormatPr defaultRowHeight="15" x14ac:dyDescent="0.25"/>
  <cols>
    <col min="1" max="5" width="9.140625" style="18"/>
    <col min="6" max="16384" width="9.140625" style="17"/>
  </cols>
  <sheetData>
    <row r="1" spans="1:5" x14ac:dyDescent="0.25">
      <c r="A1" s="16" t="s">
        <v>103</v>
      </c>
      <c r="B1" s="16" t="s">
        <v>104</v>
      </c>
      <c r="C1" s="16" t="s">
        <v>89</v>
      </c>
      <c r="D1" s="16" t="s">
        <v>90</v>
      </c>
      <c r="E1" s="16" t="s">
        <v>91</v>
      </c>
    </row>
    <row r="2" spans="1:5" x14ac:dyDescent="0.25">
      <c r="A2" s="18">
        <v>1950</v>
      </c>
      <c r="B2" s="18" t="s">
        <v>6</v>
      </c>
      <c r="C2" s="18">
        <v>0</v>
      </c>
      <c r="D2" s="18">
        <v>0</v>
      </c>
      <c r="E2" s="18">
        <v>0</v>
      </c>
    </row>
    <row r="3" spans="1:5" x14ac:dyDescent="0.25">
      <c r="A3" s="18">
        <v>1951</v>
      </c>
      <c r="B3" s="18" t="s">
        <v>6</v>
      </c>
      <c r="C3" s="18">
        <v>0</v>
      </c>
      <c r="D3" s="18">
        <v>0</v>
      </c>
      <c r="E3" s="18">
        <v>0</v>
      </c>
    </row>
    <row r="4" spans="1:5" x14ac:dyDescent="0.25">
      <c r="A4" s="18">
        <v>1952</v>
      </c>
      <c r="B4" s="18" t="s">
        <v>6</v>
      </c>
      <c r="C4" s="18">
        <v>0</v>
      </c>
      <c r="D4" s="18">
        <v>0</v>
      </c>
      <c r="E4" s="18">
        <v>0</v>
      </c>
    </row>
    <row r="5" spans="1:5" x14ac:dyDescent="0.25">
      <c r="A5" s="18">
        <v>1953</v>
      </c>
      <c r="B5" s="18" t="s">
        <v>6</v>
      </c>
      <c r="C5" s="18">
        <v>0</v>
      </c>
      <c r="D5" s="18">
        <v>0</v>
      </c>
      <c r="E5" s="18">
        <v>0</v>
      </c>
    </row>
    <row r="6" spans="1:5" x14ac:dyDescent="0.25">
      <c r="A6" s="18">
        <v>1954</v>
      </c>
      <c r="B6" s="18" t="s">
        <v>6</v>
      </c>
      <c r="C6" s="18">
        <v>0</v>
      </c>
      <c r="D6" s="18">
        <v>0</v>
      </c>
      <c r="E6" s="18">
        <v>0</v>
      </c>
    </row>
    <row r="7" spans="1:5" x14ac:dyDescent="0.25">
      <c r="A7" s="18">
        <v>1955</v>
      </c>
      <c r="B7" s="18" t="s">
        <v>6</v>
      </c>
      <c r="C7" s="18">
        <v>0</v>
      </c>
      <c r="D7" s="18">
        <v>0</v>
      </c>
      <c r="E7" s="18">
        <v>0</v>
      </c>
    </row>
    <row r="8" spans="1:5" x14ac:dyDescent="0.25">
      <c r="A8" s="18">
        <v>1956</v>
      </c>
      <c r="B8" s="18" t="s">
        <v>6</v>
      </c>
      <c r="C8" s="18">
        <v>0</v>
      </c>
      <c r="D8" s="18">
        <v>0</v>
      </c>
      <c r="E8" s="18">
        <v>0</v>
      </c>
    </row>
    <row r="9" spans="1:5" x14ac:dyDescent="0.25">
      <c r="A9" s="18">
        <v>1957</v>
      </c>
      <c r="B9" s="18" t="s">
        <v>6</v>
      </c>
      <c r="C9" s="18">
        <v>0</v>
      </c>
      <c r="D9" s="18">
        <v>0</v>
      </c>
      <c r="E9" s="18">
        <v>0</v>
      </c>
    </row>
    <row r="10" spans="1:5" x14ac:dyDescent="0.25">
      <c r="A10" s="18">
        <v>1958</v>
      </c>
      <c r="B10" s="18" t="s">
        <v>6</v>
      </c>
      <c r="C10" s="18">
        <v>0</v>
      </c>
      <c r="D10" s="18">
        <v>0</v>
      </c>
      <c r="E10" s="18">
        <v>0</v>
      </c>
    </row>
    <row r="11" spans="1:5" x14ac:dyDescent="0.25">
      <c r="A11" s="18">
        <v>1959</v>
      </c>
      <c r="B11" s="18" t="s">
        <v>6</v>
      </c>
      <c r="C11" s="18">
        <v>0</v>
      </c>
      <c r="D11" s="18">
        <v>0</v>
      </c>
      <c r="E11" s="18">
        <v>0</v>
      </c>
    </row>
    <row r="12" spans="1:5" x14ac:dyDescent="0.25">
      <c r="A12" s="18">
        <v>1960</v>
      </c>
      <c r="B12" s="18" t="s">
        <v>6</v>
      </c>
      <c r="C12" s="18">
        <v>0</v>
      </c>
      <c r="D12" s="18">
        <v>0</v>
      </c>
      <c r="E12" s="18">
        <v>0</v>
      </c>
    </row>
    <row r="13" spans="1:5" x14ac:dyDescent="0.25">
      <c r="A13" s="18">
        <v>1961</v>
      </c>
      <c r="B13" s="18" t="s">
        <v>6</v>
      </c>
      <c r="C13" s="18">
        <v>0</v>
      </c>
      <c r="D13" s="18">
        <v>0</v>
      </c>
      <c r="E13" s="18">
        <v>0</v>
      </c>
    </row>
    <row r="14" spans="1:5" x14ac:dyDescent="0.25">
      <c r="A14" s="18">
        <v>1962</v>
      </c>
      <c r="B14" s="18" t="s">
        <v>6</v>
      </c>
      <c r="C14" s="18">
        <v>0</v>
      </c>
      <c r="D14" s="18">
        <v>0</v>
      </c>
      <c r="E14" s="18">
        <v>0</v>
      </c>
    </row>
    <row r="15" spans="1:5" x14ac:dyDescent="0.25">
      <c r="A15" s="18">
        <v>1963</v>
      </c>
      <c r="B15" s="18" t="s">
        <v>6</v>
      </c>
      <c r="C15" s="18">
        <v>0</v>
      </c>
      <c r="D15" s="18">
        <v>0</v>
      </c>
      <c r="E15" s="18">
        <v>0</v>
      </c>
    </row>
    <row r="16" spans="1:5" x14ac:dyDescent="0.25">
      <c r="A16" s="18">
        <v>1964</v>
      </c>
      <c r="B16" s="18" t="s">
        <v>6</v>
      </c>
      <c r="C16" s="18">
        <v>0</v>
      </c>
      <c r="D16" s="18">
        <v>0</v>
      </c>
      <c r="E16" s="18">
        <v>0</v>
      </c>
    </row>
    <row r="17" spans="1:5" x14ac:dyDescent="0.25">
      <c r="A17" s="18">
        <v>1965</v>
      </c>
      <c r="B17" s="18" t="s">
        <v>6</v>
      </c>
      <c r="C17" s="18">
        <v>0</v>
      </c>
      <c r="D17" s="18">
        <v>0</v>
      </c>
      <c r="E17" s="18">
        <v>0</v>
      </c>
    </row>
    <row r="18" spans="1:5" x14ac:dyDescent="0.25">
      <c r="A18" s="18">
        <v>1966</v>
      </c>
      <c r="B18" s="18" t="s">
        <v>6</v>
      </c>
      <c r="C18" s="18">
        <v>0</v>
      </c>
      <c r="D18" s="18">
        <v>0</v>
      </c>
      <c r="E18" s="18">
        <v>0</v>
      </c>
    </row>
    <row r="19" spans="1:5" x14ac:dyDescent="0.25">
      <c r="A19" s="18">
        <v>1967</v>
      </c>
      <c r="B19" s="18" t="s">
        <v>6</v>
      </c>
      <c r="C19" s="18">
        <v>0</v>
      </c>
      <c r="D19" s="18">
        <v>0</v>
      </c>
      <c r="E19" s="18">
        <v>0</v>
      </c>
    </row>
    <row r="20" spans="1:5" x14ac:dyDescent="0.25">
      <c r="A20" s="18">
        <v>1968</v>
      </c>
      <c r="B20" s="18" t="s">
        <v>6</v>
      </c>
      <c r="C20" s="18">
        <v>0</v>
      </c>
      <c r="D20" s="18">
        <v>0</v>
      </c>
      <c r="E20" s="18">
        <v>0</v>
      </c>
    </row>
    <row r="21" spans="1:5" x14ac:dyDescent="0.25">
      <c r="A21" s="18">
        <v>1969</v>
      </c>
      <c r="B21" s="18" t="s">
        <v>6</v>
      </c>
      <c r="C21" s="18">
        <v>0</v>
      </c>
      <c r="D21" s="18">
        <v>0</v>
      </c>
      <c r="E21" s="18">
        <v>0</v>
      </c>
    </row>
    <row r="22" spans="1:5" x14ac:dyDescent="0.25">
      <c r="A22" s="18">
        <v>1970</v>
      </c>
      <c r="B22" s="18" t="s">
        <v>6</v>
      </c>
      <c r="C22" s="18">
        <v>36299</v>
      </c>
      <c r="D22" s="18">
        <v>18504</v>
      </c>
      <c r="E22" s="18">
        <v>17795</v>
      </c>
    </row>
    <row r="23" spans="1:5" x14ac:dyDescent="0.25">
      <c r="A23" s="18">
        <v>1971</v>
      </c>
      <c r="B23" s="18" t="s">
        <v>6</v>
      </c>
      <c r="C23" s="18">
        <v>0</v>
      </c>
      <c r="D23" s="18">
        <v>0</v>
      </c>
      <c r="E23" s="18">
        <v>0</v>
      </c>
    </row>
    <row r="24" spans="1:5" x14ac:dyDescent="0.25">
      <c r="A24" s="18">
        <v>1972</v>
      </c>
      <c r="B24" s="18" t="s">
        <v>6</v>
      </c>
      <c r="C24" s="18">
        <v>0</v>
      </c>
      <c r="D24" s="18">
        <v>0</v>
      </c>
      <c r="E24" s="18">
        <v>0</v>
      </c>
    </row>
    <row r="25" spans="1:5" x14ac:dyDescent="0.25">
      <c r="A25" s="18">
        <v>1973</v>
      </c>
      <c r="B25" s="18" t="s">
        <v>6</v>
      </c>
      <c r="C25" s="18">
        <v>0</v>
      </c>
      <c r="D25" s="18">
        <v>0</v>
      </c>
      <c r="E25" s="18">
        <v>0</v>
      </c>
    </row>
    <row r="26" spans="1:5" x14ac:dyDescent="0.25">
      <c r="A26" s="18">
        <v>1974</v>
      </c>
      <c r="B26" s="18" t="s">
        <v>6</v>
      </c>
      <c r="C26" s="18">
        <v>0</v>
      </c>
      <c r="D26" s="18">
        <v>0</v>
      </c>
      <c r="E26" s="18">
        <v>0</v>
      </c>
    </row>
    <row r="27" spans="1:5" x14ac:dyDescent="0.25">
      <c r="A27" s="18">
        <v>1975</v>
      </c>
      <c r="B27" s="18" t="s">
        <v>6</v>
      </c>
      <c r="C27" s="18">
        <v>54158</v>
      </c>
      <c r="D27" s="18">
        <v>27316</v>
      </c>
      <c r="E27" s="18">
        <v>26842</v>
      </c>
    </row>
    <row r="28" spans="1:5" x14ac:dyDescent="0.25">
      <c r="A28" s="18">
        <v>1976</v>
      </c>
      <c r="B28" s="18" t="s">
        <v>6</v>
      </c>
      <c r="C28" s="18">
        <v>0</v>
      </c>
      <c r="D28" s="18">
        <v>0</v>
      </c>
      <c r="E28" s="18">
        <v>0</v>
      </c>
    </row>
    <row r="29" spans="1:5" x14ac:dyDescent="0.25">
      <c r="A29" s="18">
        <v>1977</v>
      </c>
      <c r="B29" s="18" t="s">
        <v>6</v>
      </c>
      <c r="C29" s="18">
        <v>0</v>
      </c>
      <c r="D29" s="18">
        <v>0</v>
      </c>
      <c r="E29" s="18">
        <v>0</v>
      </c>
    </row>
    <row r="30" spans="1:5" x14ac:dyDescent="0.25">
      <c r="A30" s="18">
        <v>1978</v>
      </c>
      <c r="B30" s="18" t="s">
        <v>6</v>
      </c>
      <c r="C30" s="18">
        <v>0</v>
      </c>
      <c r="D30" s="18">
        <v>0</v>
      </c>
      <c r="E30" s="18">
        <v>0</v>
      </c>
    </row>
    <row r="31" spans="1:5" x14ac:dyDescent="0.25">
      <c r="A31" s="18">
        <v>1979</v>
      </c>
      <c r="B31" s="18" t="s">
        <v>6</v>
      </c>
      <c r="C31" s="18">
        <v>0</v>
      </c>
      <c r="D31" s="18">
        <v>0</v>
      </c>
      <c r="E31" s="18">
        <v>0</v>
      </c>
    </row>
    <row r="32" spans="1:5" x14ac:dyDescent="0.25">
      <c r="A32" s="18">
        <v>1980</v>
      </c>
      <c r="B32" s="18" t="s">
        <v>6</v>
      </c>
      <c r="C32" s="18">
        <v>50945</v>
      </c>
      <c r="D32" s="18">
        <v>26199</v>
      </c>
      <c r="E32" s="18">
        <v>24739</v>
      </c>
    </row>
    <row r="33" spans="1:5" x14ac:dyDescent="0.25">
      <c r="A33" s="18">
        <v>1981</v>
      </c>
      <c r="B33" s="18" t="s">
        <v>6</v>
      </c>
      <c r="C33" s="18">
        <v>0</v>
      </c>
      <c r="D33" s="18">
        <v>0</v>
      </c>
      <c r="E33" s="18">
        <v>0</v>
      </c>
    </row>
    <row r="34" spans="1:5" x14ac:dyDescent="0.25">
      <c r="A34" s="18">
        <v>1982</v>
      </c>
      <c r="B34" s="18" t="s">
        <v>6</v>
      </c>
      <c r="C34" s="18">
        <v>0</v>
      </c>
      <c r="D34" s="18">
        <v>0</v>
      </c>
      <c r="E34" s="18">
        <v>0</v>
      </c>
    </row>
    <row r="35" spans="1:5" x14ac:dyDescent="0.25">
      <c r="A35" s="18">
        <v>1983</v>
      </c>
      <c r="B35" s="18" t="s">
        <v>6</v>
      </c>
      <c r="C35" s="18">
        <v>0</v>
      </c>
      <c r="D35" s="18">
        <v>0</v>
      </c>
      <c r="E35" s="18">
        <v>0</v>
      </c>
    </row>
    <row r="36" spans="1:5" x14ac:dyDescent="0.25">
      <c r="A36" s="18">
        <v>1984</v>
      </c>
      <c r="B36" s="18" t="s">
        <v>6</v>
      </c>
      <c r="C36" s="18">
        <v>0</v>
      </c>
      <c r="D36" s="18">
        <v>0</v>
      </c>
      <c r="E36" s="18">
        <v>0</v>
      </c>
    </row>
    <row r="37" spans="1:5" x14ac:dyDescent="0.25">
      <c r="A37" s="18">
        <v>1985</v>
      </c>
      <c r="B37" s="18" t="s">
        <v>6</v>
      </c>
      <c r="C37" s="18">
        <v>51627</v>
      </c>
      <c r="D37" s="18">
        <v>26355</v>
      </c>
      <c r="E37" s="18">
        <v>25272</v>
      </c>
    </row>
    <row r="38" spans="1:5" x14ac:dyDescent="0.25">
      <c r="A38" s="18">
        <v>1986</v>
      </c>
      <c r="B38" s="18" t="s">
        <v>6</v>
      </c>
      <c r="C38" s="18">
        <v>0</v>
      </c>
      <c r="D38" s="18">
        <v>0</v>
      </c>
      <c r="E38" s="18">
        <v>0</v>
      </c>
    </row>
    <row r="39" spans="1:5" x14ac:dyDescent="0.25">
      <c r="A39" s="18">
        <v>1987</v>
      </c>
      <c r="B39" s="18" t="s">
        <v>6</v>
      </c>
      <c r="C39" s="18">
        <v>0</v>
      </c>
      <c r="D39" s="18">
        <v>0</v>
      </c>
      <c r="E39" s="18">
        <v>0</v>
      </c>
    </row>
    <row r="40" spans="1:5" x14ac:dyDescent="0.25">
      <c r="A40" s="18">
        <v>1988</v>
      </c>
      <c r="B40" s="18" t="s">
        <v>6</v>
      </c>
      <c r="C40" s="18">
        <v>0</v>
      </c>
      <c r="D40" s="18">
        <v>0</v>
      </c>
      <c r="E40" s="18">
        <v>0</v>
      </c>
    </row>
    <row r="41" spans="1:5" x14ac:dyDescent="0.25">
      <c r="A41" s="18">
        <v>1989</v>
      </c>
      <c r="B41" s="18" t="s">
        <v>6</v>
      </c>
      <c r="C41" s="18">
        <v>0</v>
      </c>
      <c r="D41" s="18">
        <v>0</v>
      </c>
      <c r="E41" s="18">
        <v>0</v>
      </c>
    </row>
    <row r="42" spans="1:5" x14ac:dyDescent="0.25">
      <c r="A42" s="18">
        <v>1990</v>
      </c>
      <c r="B42" s="18" t="s">
        <v>6</v>
      </c>
      <c r="C42" s="18">
        <v>48237</v>
      </c>
      <c r="D42" s="18">
        <v>24478</v>
      </c>
      <c r="E42" s="18">
        <v>23759</v>
      </c>
    </row>
    <row r="43" spans="1:5" x14ac:dyDescent="0.25">
      <c r="A43" s="18">
        <v>1991</v>
      </c>
      <c r="B43" s="18" t="s">
        <v>6</v>
      </c>
      <c r="C43" s="18">
        <v>0</v>
      </c>
      <c r="D43" s="18">
        <v>0</v>
      </c>
      <c r="E43" s="18">
        <v>0</v>
      </c>
    </row>
    <row r="44" spans="1:5" x14ac:dyDescent="0.25">
      <c r="A44" s="18">
        <v>1992</v>
      </c>
      <c r="B44" s="18" t="s">
        <v>6</v>
      </c>
      <c r="C44" s="18">
        <v>0</v>
      </c>
      <c r="D44" s="18">
        <v>0</v>
      </c>
      <c r="E44" s="18">
        <v>0</v>
      </c>
    </row>
    <row r="45" spans="1:5" x14ac:dyDescent="0.25">
      <c r="A45" s="18">
        <v>1993</v>
      </c>
      <c r="B45" s="18" t="s">
        <v>6</v>
      </c>
      <c r="C45" s="18">
        <v>0</v>
      </c>
      <c r="D45" s="18">
        <v>0</v>
      </c>
      <c r="E45" s="18">
        <v>0</v>
      </c>
    </row>
    <row r="46" spans="1:5" x14ac:dyDescent="0.25">
      <c r="A46" s="18">
        <v>1994</v>
      </c>
      <c r="B46" s="18" t="s">
        <v>6</v>
      </c>
      <c r="C46" s="18">
        <v>0</v>
      </c>
      <c r="D46" s="18">
        <v>0</v>
      </c>
      <c r="E46" s="18">
        <v>0</v>
      </c>
    </row>
    <row r="47" spans="1:5" x14ac:dyDescent="0.25">
      <c r="A47" s="18">
        <v>1995</v>
      </c>
      <c r="B47" s="18" t="s">
        <v>6</v>
      </c>
      <c r="C47" s="18">
        <v>0</v>
      </c>
      <c r="D47" s="18">
        <v>0</v>
      </c>
      <c r="E47" s="18">
        <v>0</v>
      </c>
    </row>
    <row r="48" spans="1:5" x14ac:dyDescent="0.25">
      <c r="A48" s="18">
        <v>1996</v>
      </c>
      <c r="B48" s="18" t="s">
        <v>6</v>
      </c>
      <c r="C48" s="18">
        <v>0</v>
      </c>
      <c r="D48" s="18">
        <v>0</v>
      </c>
      <c r="E48" s="18">
        <v>0</v>
      </c>
    </row>
    <row r="49" spans="1:5" x14ac:dyDescent="0.25">
      <c r="A49" s="18">
        <v>1997</v>
      </c>
      <c r="B49" s="18" t="s">
        <v>6</v>
      </c>
      <c r="C49" s="18">
        <v>0</v>
      </c>
      <c r="D49" s="18">
        <v>0</v>
      </c>
      <c r="E49" s="18">
        <v>0</v>
      </c>
    </row>
    <row r="50" spans="1:5" x14ac:dyDescent="0.25">
      <c r="A50" s="18">
        <v>1998</v>
      </c>
      <c r="B50" s="18" t="s">
        <v>6</v>
      </c>
      <c r="C50" s="18">
        <v>0</v>
      </c>
      <c r="D50" s="18">
        <v>0</v>
      </c>
      <c r="E50" s="18">
        <v>0</v>
      </c>
    </row>
    <row r="51" spans="1:5" x14ac:dyDescent="0.25">
      <c r="A51" s="18">
        <v>1999</v>
      </c>
      <c r="B51" s="18" t="s">
        <v>6</v>
      </c>
      <c r="C51" s="18">
        <v>0</v>
      </c>
      <c r="D51" s="18">
        <v>0</v>
      </c>
      <c r="E51" s="18">
        <v>0</v>
      </c>
    </row>
    <row r="52" spans="1:5" x14ac:dyDescent="0.25">
      <c r="A52" s="18">
        <v>2000</v>
      </c>
      <c r="B52" s="18" t="s">
        <v>6</v>
      </c>
      <c r="C52" s="18">
        <v>56128</v>
      </c>
      <c r="D52" s="18">
        <v>28626</v>
      </c>
      <c r="E52" s="18">
        <v>27503</v>
      </c>
    </row>
    <row r="53" spans="1:5" x14ac:dyDescent="0.25">
      <c r="A53" s="18">
        <v>2001</v>
      </c>
      <c r="B53" s="18" t="s">
        <v>6</v>
      </c>
      <c r="C53" s="18">
        <v>0</v>
      </c>
      <c r="D53" s="18">
        <v>0</v>
      </c>
      <c r="E53" s="18">
        <v>0</v>
      </c>
    </row>
    <row r="54" spans="1:5" x14ac:dyDescent="0.25">
      <c r="A54" s="18">
        <v>2002</v>
      </c>
      <c r="B54" s="18" t="s">
        <v>6</v>
      </c>
      <c r="C54" s="18">
        <v>0</v>
      </c>
      <c r="D54" s="18">
        <v>0</v>
      </c>
      <c r="E54" s="18">
        <v>0</v>
      </c>
    </row>
    <row r="55" spans="1:5" x14ac:dyDescent="0.25">
      <c r="A55" s="18">
        <v>2003</v>
      </c>
      <c r="B55" s="18" t="s">
        <v>6</v>
      </c>
      <c r="C55" s="18">
        <v>0</v>
      </c>
      <c r="D55" s="18">
        <v>0</v>
      </c>
      <c r="E55" s="18">
        <v>0</v>
      </c>
    </row>
    <row r="56" spans="1:5" x14ac:dyDescent="0.25">
      <c r="A56" s="18">
        <v>2004</v>
      </c>
      <c r="B56" s="18" t="s">
        <v>6</v>
      </c>
      <c r="C56" s="18">
        <v>0</v>
      </c>
      <c r="D56" s="18">
        <v>0</v>
      </c>
      <c r="E56" s="18">
        <v>0</v>
      </c>
    </row>
    <row r="57" spans="1:5" x14ac:dyDescent="0.25">
      <c r="A57" s="18">
        <v>2005</v>
      </c>
      <c r="B57" s="18" t="s">
        <v>6</v>
      </c>
      <c r="C57" s="18">
        <v>0</v>
      </c>
      <c r="D57" s="18">
        <v>0</v>
      </c>
      <c r="E57" s="18">
        <v>0</v>
      </c>
    </row>
    <row r="58" spans="1:5" x14ac:dyDescent="0.25">
      <c r="A58" s="18">
        <v>2006</v>
      </c>
      <c r="B58" s="18" t="s">
        <v>6</v>
      </c>
      <c r="C58" s="18">
        <v>0</v>
      </c>
      <c r="D58" s="18">
        <v>0</v>
      </c>
      <c r="E58" s="18">
        <v>0</v>
      </c>
    </row>
    <row r="59" spans="1:5" x14ac:dyDescent="0.25">
      <c r="A59" s="18">
        <v>2007</v>
      </c>
      <c r="B59" s="18" t="s">
        <v>6</v>
      </c>
      <c r="C59" s="18">
        <v>0</v>
      </c>
      <c r="D59" s="18">
        <v>0</v>
      </c>
      <c r="E59" s="18">
        <v>0</v>
      </c>
    </row>
    <row r="60" spans="1:5" x14ac:dyDescent="0.25">
      <c r="A60" s="18">
        <v>2008</v>
      </c>
      <c r="B60" s="18" t="s">
        <v>6</v>
      </c>
      <c r="C60" s="18">
        <v>0</v>
      </c>
      <c r="D60" s="18">
        <v>0</v>
      </c>
      <c r="E60" s="18">
        <v>0</v>
      </c>
    </row>
    <row r="61" spans="1:5" x14ac:dyDescent="0.25">
      <c r="A61" s="18">
        <v>1931</v>
      </c>
      <c r="B61" s="18" t="s">
        <v>21</v>
      </c>
      <c r="C61" s="18">
        <v>0</v>
      </c>
      <c r="D61" s="18">
        <v>0</v>
      </c>
      <c r="E61" s="18">
        <v>0</v>
      </c>
    </row>
    <row r="62" spans="1:5" x14ac:dyDescent="0.25">
      <c r="A62" s="18">
        <v>1932</v>
      </c>
      <c r="B62" s="18" t="s">
        <v>21</v>
      </c>
      <c r="C62" s="18">
        <v>0</v>
      </c>
      <c r="D62" s="18">
        <v>0</v>
      </c>
      <c r="E62" s="18">
        <v>0</v>
      </c>
    </row>
    <row r="63" spans="1:5" x14ac:dyDescent="0.25">
      <c r="A63" s="18">
        <v>1933</v>
      </c>
      <c r="B63" s="18" t="s">
        <v>21</v>
      </c>
      <c r="C63" s="18">
        <v>0</v>
      </c>
      <c r="D63" s="18">
        <v>0</v>
      </c>
      <c r="E63" s="18">
        <v>0</v>
      </c>
    </row>
    <row r="64" spans="1:5" x14ac:dyDescent="0.25">
      <c r="A64" s="18">
        <v>1934</v>
      </c>
      <c r="B64" s="18" t="s">
        <v>21</v>
      </c>
      <c r="C64" s="18">
        <v>0</v>
      </c>
      <c r="D64" s="18">
        <v>0</v>
      </c>
      <c r="E64" s="18">
        <v>0</v>
      </c>
    </row>
    <row r="65" spans="1:5" x14ac:dyDescent="0.25">
      <c r="A65" s="18">
        <v>1935</v>
      </c>
      <c r="B65" s="18" t="s">
        <v>21</v>
      </c>
      <c r="C65" s="18">
        <v>0</v>
      </c>
      <c r="D65" s="18">
        <v>0</v>
      </c>
      <c r="E65" s="18">
        <v>0</v>
      </c>
    </row>
    <row r="66" spans="1:5" x14ac:dyDescent="0.25">
      <c r="A66" s="18">
        <v>1936</v>
      </c>
      <c r="B66" s="18" t="s">
        <v>21</v>
      </c>
      <c r="C66" s="18">
        <v>0</v>
      </c>
      <c r="D66" s="18">
        <v>0</v>
      </c>
      <c r="E66" s="18">
        <v>0</v>
      </c>
    </row>
    <row r="67" spans="1:5" x14ac:dyDescent="0.25">
      <c r="A67" s="18">
        <v>1937</v>
      </c>
      <c r="B67" s="18" t="s">
        <v>21</v>
      </c>
      <c r="C67" s="18">
        <v>0</v>
      </c>
      <c r="D67" s="18">
        <v>0</v>
      </c>
      <c r="E67" s="18">
        <v>0</v>
      </c>
    </row>
    <row r="68" spans="1:5" x14ac:dyDescent="0.25">
      <c r="A68" s="18">
        <v>1938</v>
      </c>
      <c r="B68" s="18" t="s">
        <v>21</v>
      </c>
      <c r="C68" s="18">
        <v>0</v>
      </c>
      <c r="D68" s="18">
        <v>0</v>
      </c>
      <c r="E68" s="18">
        <v>0</v>
      </c>
    </row>
    <row r="69" spans="1:5" x14ac:dyDescent="0.25">
      <c r="A69" s="18">
        <v>1939</v>
      </c>
      <c r="B69" s="18" t="s">
        <v>21</v>
      </c>
      <c r="C69" s="18">
        <v>0</v>
      </c>
      <c r="D69" s="18">
        <v>0</v>
      </c>
      <c r="E69" s="18">
        <v>0</v>
      </c>
    </row>
    <row r="70" spans="1:5" x14ac:dyDescent="0.25">
      <c r="A70" s="18">
        <v>1940</v>
      </c>
      <c r="B70" s="18" t="s">
        <v>21</v>
      </c>
      <c r="C70" s="18">
        <v>0</v>
      </c>
      <c r="D70" s="18">
        <v>0</v>
      </c>
      <c r="E70" s="18">
        <v>0</v>
      </c>
    </row>
    <row r="71" spans="1:5" x14ac:dyDescent="0.25">
      <c r="A71" s="18">
        <v>1941</v>
      </c>
      <c r="B71" s="18" t="s">
        <v>21</v>
      </c>
      <c r="C71" s="18">
        <v>0</v>
      </c>
      <c r="D71" s="18">
        <v>0</v>
      </c>
      <c r="E71" s="18">
        <v>0</v>
      </c>
    </row>
    <row r="72" spans="1:5" x14ac:dyDescent="0.25">
      <c r="A72" s="18">
        <v>1942</v>
      </c>
      <c r="B72" s="18" t="s">
        <v>21</v>
      </c>
      <c r="C72" s="18">
        <v>0</v>
      </c>
      <c r="D72" s="18">
        <v>0</v>
      </c>
      <c r="E72" s="18">
        <v>0</v>
      </c>
    </row>
    <row r="73" spans="1:5" x14ac:dyDescent="0.25">
      <c r="A73" s="18">
        <v>1943</v>
      </c>
      <c r="B73" s="18" t="s">
        <v>21</v>
      </c>
      <c r="C73" s="18">
        <v>0</v>
      </c>
      <c r="D73" s="18">
        <v>0</v>
      </c>
      <c r="E73" s="18">
        <v>0</v>
      </c>
    </row>
    <row r="74" spans="1:5" x14ac:dyDescent="0.25">
      <c r="A74" s="18">
        <v>1944</v>
      </c>
      <c r="B74" s="18" t="s">
        <v>21</v>
      </c>
      <c r="C74" s="18">
        <v>0</v>
      </c>
      <c r="D74" s="18">
        <v>0</v>
      </c>
      <c r="E74" s="18">
        <v>0</v>
      </c>
    </row>
    <row r="75" spans="1:5" x14ac:dyDescent="0.25">
      <c r="A75" s="18">
        <v>1945</v>
      </c>
      <c r="B75" s="18" t="s">
        <v>21</v>
      </c>
      <c r="C75" s="18">
        <v>0</v>
      </c>
      <c r="D75" s="18">
        <v>0</v>
      </c>
      <c r="E75" s="18">
        <v>0</v>
      </c>
    </row>
    <row r="76" spans="1:5" x14ac:dyDescent="0.25">
      <c r="A76" s="18">
        <v>1946</v>
      </c>
      <c r="B76" s="18" t="s">
        <v>21</v>
      </c>
      <c r="C76" s="18">
        <v>0</v>
      </c>
      <c r="D76" s="18">
        <v>0</v>
      </c>
      <c r="E76" s="18">
        <v>0</v>
      </c>
    </row>
    <row r="77" spans="1:5" x14ac:dyDescent="0.25">
      <c r="A77" s="18">
        <v>1947</v>
      </c>
      <c r="B77" s="18" t="s">
        <v>21</v>
      </c>
      <c r="C77" s="18">
        <v>0</v>
      </c>
      <c r="D77" s="18">
        <v>0</v>
      </c>
      <c r="E77" s="18">
        <v>0</v>
      </c>
    </row>
    <row r="78" spans="1:5" x14ac:dyDescent="0.25">
      <c r="A78" s="18">
        <v>1948</v>
      </c>
      <c r="B78" s="18" t="s">
        <v>21</v>
      </c>
      <c r="C78" s="18">
        <v>0</v>
      </c>
      <c r="D78" s="18">
        <v>0</v>
      </c>
      <c r="E78" s="18">
        <v>0</v>
      </c>
    </row>
    <row r="79" spans="1:5" x14ac:dyDescent="0.25">
      <c r="A79" s="18">
        <v>1949</v>
      </c>
      <c r="B79" s="18" t="s">
        <v>21</v>
      </c>
      <c r="C79" s="18">
        <v>0</v>
      </c>
      <c r="D79" s="18">
        <v>0</v>
      </c>
      <c r="E79" s="18">
        <v>0</v>
      </c>
    </row>
    <row r="80" spans="1:5" x14ac:dyDescent="0.25">
      <c r="A80" s="18">
        <v>1950</v>
      </c>
      <c r="B80" s="18" t="s">
        <v>21</v>
      </c>
      <c r="C80" s="18">
        <v>0</v>
      </c>
      <c r="D80" s="18">
        <v>0</v>
      </c>
      <c r="E80" s="18">
        <v>0</v>
      </c>
    </row>
    <row r="81" spans="1:5" x14ac:dyDescent="0.25">
      <c r="A81" s="18">
        <v>1951</v>
      </c>
      <c r="B81" s="18" t="s">
        <v>21</v>
      </c>
      <c r="C81" s="18">
        <v>0</v>
      </c>
      <c r="D81" s="18">
        <v>0</v>
      </c>
      <c r="E81" s="18">
        <v>0</v>
      </c>
    </row>
    <row r="82" spans="1:5" x14ac:dyDescent="0.25">
      <c r="A82" s="18">
        <v>1952</v>
      </c>
      <c r="B82" s="18" t="s">
        <v>21</v>
      </c>
      <c r="C82" s="18">
        <v>0</v>
      </c>
      <c r="D82" s="18">
        <v>0</v>
      </c>
      <c r="E82" s="18">
        <v>0</v>
      </c>
    </row>
    <row r="83" spans="1:5" x14ac:dyDescent="0.25">
      <c r="A83" s="18">
        <v>1953</v>
      </c>
      <c r="B83" s="18" t="s">
        <v>21</v>
      </c>
      <c r="C83" s="18">
        <v>0</v>
      </c>
      <c r="D83" s="18">
        <v>0</v>
      </c>
      <c r="E83" s="18">
        <v>0</v>
      </c>
    </row>
    <row r="84" spans="1:5" x14ac:dyDescent="0.25">
      <c r="A84" s="18">
        <v>1954</v>
      </c>
      <c r="B84" s="18" t="s">
        <v>21</v>
      </c>
      <c r="C84" s="18">
        <v>0</v>
      </c>
      <c r="D84" s="18">
        <v>0</v>
      </c>
      <c r="E84" s="18">
        <v>0</v>
      </c>
    </row>
    <row r="85" spans="1:5" x14ac:dyDescent="0.25">
      <c r="A85" s="18">
        <v>1955</v>
      </c>
      <c r="B85" s="18" t="s">
        <v>21</v>
      </c>
      <c r="C85" s="18">
        <v>0</v>
      </c>
      <c r="D85" s="18">
        <v>0</v>
      </c>
      <c r="E85" s="18">
        <v>0</v>
      </c>
    </row>
    <row r="86" spans="1:5" x14ac:dyDescent="0.25">
      <c r="A86" s="18">
        <v>1956</v>
      </c>
      <c r="B86" s="18" t="s">
        <v>21</v>
      </c>
      <c r="C86" s="18">
        <v>0</v>
      </c>
      <c r="D86" s="18">
        <v>0</v>
      </c>
      <c r="E86" s="18">
        <v>0</v>
      </c>
    </row>
    <row r="87" spans="1:5" x14ac:dyDescent="0.25">
      <c r="A87" s="18">
        <v>1957</v>
      </c>
      <c r="B87" s="18" t="s">
        <v>21</v>
      </c>
      <c r="C87" s="18">
        <v>0</v>
      </c>
      <c r="D87" s="18">
        <v>0</v>
      </c>
      <c r="E87" s="18">
        <v>0</v>
      </c>
    </row>
    <row r="88" spans="1:5" x14ac:dyDescent="0.25">
      <c r="A88" s="18">
        <v>1958</v>
      </c>
      <c r="B88" s="18" t="s">
        <v>21</v>
      </c>
      <c r="C88" s="18">
        <v>0</v>
      </c>
      <c r="D88" s="18">
        <v>0</v>
      </c>
      <c r="E88" s="18">
        <v>0</v>
      </c>
    </row>
    <row r="89" spans="1:5" x14ac:dyDescent="0.25">
      <c r="A89" s="18">
        <v>1959</v>
      </c>
      <c r="B89" s="18" t="s">
        <v>21</v>
      </c>
      <c r="C89" s="18">
        <v>0</v>
      </c>
      <c r="D89" s="18">
        <v>0</v>
      </c>
      <c r="E89" s="18">
        <v>0</v>
      </c>
    </row>
    <row r="90" spans="1:5" x14ac:dyDescent="0.25">
      <c r="A90" s="18">
        <v>1960</v>
      </c>
      <c r="B90" s="18" t="s">
        <v>21</v>
      </c>
      <c r="C90" s="18">
        <v>0</v>
      </c>
      <c r="D90" s="18">
        <v>0</v>
      </c>
      <c r="E90" s="18">
        <v>0</v>
      </c>
    </row>
    <row r="91" spans="1:5" x14ac:dyDescent="0.25">
      <c r="A91" s="18">
        <v>1961</v>
      </c>
      <c r="B91" s="18" t="s">
        <v>21</v>
      </c>
      <c r="C91" s="18">
        <v>0</v>
      </c>
      <c r="D91" s="18">
        <v>0</v>
      </c>
      <c r="E91" s="18">
        <v>0</v>
      </c>
    </row>
    <row r="92" spans="1:5" x14ac:dyDescent="0.25">
      <c r="A92" s="18">
        <v>1962</v>
      </c>
      <c r="B92" s="18" t="s">
        <v>21</v>
      </c>
      <c r="C92" s="18">
        <v>0</v>
      </c>
      <c r="D92" s="18">
        <v>0</v>
      </c>
      <c r="E92" s="18">
        <v>0</v>
      </c>
    </row>
    <row r="93" spans="1:5" x14ac:dyDescent="0.25">
      <c r="A93" s="18">
        <v>1963</v>
      </c>
      <c r="B93" s="18" t="s">
        <v>21</v>
      </c>
      <c r="C93" s="18">
        <v>0</v>
      </c>
      <c r="D93" s="18">
        <v>0</v>
      </c>
      <c r="E93" s="18">
        <v>0</v>
      </c>
    </row>
    <row r="94" spans="1:5" x14ac:dyDescent="0.25">
      <c r="A94" s="18">
        <v>1964</v>
      </c>
      <c r="B94" s="18" t="s">
        <v>21</v>
      </c>
      <c r="C94" s="18">
        <v>0</v>
      </c>
      <c r="D94" s="18">
        <v>0</v>
      </c>
      <c r="E94" s="18">
        <v>0</v>
      </c>
    </row>
    <row r="95" spans="1:5" x14ac:dyDescent="0.25">
      <c r="A95" s="18">
        <v>1965</v>
      </c>
      <c r="B95" s="18" t="s">
        <v>21</v>
      </c>
      <c r="C95" s="18">
        <v>0</v>
      </c>
      <c r="D95" s="18">
        <v>0</v>
      </c>
      <c r="E95" s="18">
        <v>0</v>
      </c>
    </row>
    <row r="96" spans="1:5" x14ac:dyDescent="0.25">
      <c r="A96" s="18">
        <v>1966</v>
      </c>
      <c r="B96" s="18" t="s">
        <v>21</v>
      </c>
      <c r="C96" s="18">
        <v>0</v>
      </c>
      <c r="D96" s="18">
        <v>0</v>
      </c>
      <c r="E96" s="18">
        <v>0</v>
      </c>
    </row>
    <row r="97" spans="1:5" x14ac:dyDescent="0.25">
      <c r="A97" s="18">
        <v>1967</v>
      </c>
      <c r="B97" s="18" t="s">
        <v>21</v>
      </c>
      <c r="C97" s="18">
        <v>0</v>
      </c>
      <c r="D97" s="18">
        <v>0</v>
      </c>
      <c r="E97" s="18">
        <v>0</v>
      </c>
    </row>
    <row r="98" spans="1:5" x14ac:dyDescent="0.25">
      <c r="A98" s="18">
        <v>1968</v>
      </c>
      <c r="B98" s="18" t="s">
        <v>21</v>
      </c>
      <c r="C98" s="18">
        <v>0</v>
      </c>
      <c r="D98" s="18">
        <v>0</v>
      </c>
      <c r="E98" s="18">
        <v>0</v>
      </c>
    </row>
    <row r="99" spans="1:5" x14ac:dyDescent="0.25">
      <c r="A99" s="18">
        <v>1969</v>
      </c>
      <c r="B99" s="18" t="s">
        <v>21</v>
      </c>
      <c r="C99" s="18">
        <v>0</v>
      </c>
      <c r="D99" s="18">
        <v>0</v>
      </c>
      <c r="E99" s="18">
        <v>0</v>
      </c>
    </row>
    <row r="100" spans="1:5" x14ac:dyDescent="0.25">
      <c r="A100" s="18">
        <v>1970</v>
      </c>
      <c r="B100" s="18" t="s">
        <v>21</v>
      </c>
      <c r="C100" s="18">
        <v>46648</v>
      </c>
      <c r="D100" s="18">
        <v>23349</v>
      </c>
      <c r="E100" s="18">
        <v>23297</v>
      </c>
    </row>
    <row r="101" spans="1:5" x14ac:dyDescent="0.25">
      <c r="A101" s="18">
        <v>1971</v>
      </c>
      <c r="B101" s="18" t="s">
        <v>21</v>
      </c>
      <c r="C101" s="18">
        <v>0</v>
      </c>
      <c r="D101" s="18">
        <v>0</v>
      </c>
      <c r="E101" s="18">
        <v>0</v>
      </c>
    </row>
    <row r="102" spans="1:5" x14ac:dyDescent="0.25">
      <c r="A102" s="18">
        <v>1972</v>
      </c>
      <c r="B102" s="18" t="s">
        <v>21</v>
      </c>
      <c r="C102" s="18">
        <v>0</v>
      </c>
      <c r="D102" s="18">
        <v>0</v>
      </c>
      <c r="E102" s="18">
        <v>0</v>
      </c>
    </row>
    <row r="103" spans="1:5" x14ac:dyDescent="0.25">
      <c r="A103" s="18">
        <v>1973</v>
      </c>
      <c r="B103" s="18" t="s">
        <v>21</v>
      </c>
      <c r="C103" s="18">
        <v>0</v>
      </c>
      <c r="D103" s="18">
        <v>0</v>
      </c>
      <c r="E103" s="18">
        <v>0</v>
      </c>
    </row>
    <row r="104" spans="1:5" x14ac:dyDescent="0.25">
      <c r="A104" s="18">
        <v>1974</v>
      </c>
      <c r="B104" s="18" t="s">
        <v>21</v>
      </c>
      <c r="C104" s="18">
        <v>0</v>
      </c>
      <c r="D104" s="18">
        <v>0</v>
      </c>
      <c r="E104" s="18">
        <v>0</v>
      </c>
    </row>
    <row r="105" spans="1:5" x14ac:dyDescent="0.25">
      <c r="A105" s="18">
        <v>1975</v>
      </c>
      <c r="B105" s="18" t="s">
        <v>21</v>
      </c>
      <c r="C105" s="18">
        <v>97771</v>
      </c>
      <c r="D105" s="18">
        <v>43509</v>
      </c>
      <c r="E105" s="18">
        <v>54281</v>
      </c>
    </row>
    <row r="106" spans="1:5" x14ac:dyDescent="0.25">
      <c r="A106" s="18">
        <v>1976</v>
      </c>
      <c r="B106" s="18" t="s">
        <v>21</v>
      </c>
      <c r="C106" s="18">
        <v>0</v>
      </c>
      <c r="D106" s="18">
        <v>0</v>
      </c>
      <c r="E106" s="18">
        <v>0</v>
      </c>
    </row>
    <row r="107" spans="1:5" x14ac:dyDescent="0.25">
      <c r="A107" s="18">
        <v>1977</v>
      </c>
      <c r="B107" s="18" t="s">
        <v>21</v>
      </c>
      <c r="C107" s="18">
        <v>0</v>
      </c>
      <c r="D107" s="18">
        <v>0</v>
      </c>
      <c r="E107" s="18">
        <v>0</v>
      </c>
    </row>
    <row r="108" spans="1:5" x14ac:dyDescent="0.25">
      <c r="A108" s="18">
        <v>1978</v>
      </c>
      <c r="B108" s="18" t="s">
        <v>21</v>
      </c>
      <c r="C108" s="18">
        <v>0</v>
      </c>
      <c r="D108" s="18">
        <v>0</v>
      </c>
      <c r="E108" s="18">
        <v>0</v>
      </c>
    </row>
    <row r="109" spans="1:5" x14ac:dyDescent="0.25">
      <c r="A109" s="18">
        <v>1979</v>
      </c>
      <c r="B109" s="18" t="s">
        <v>21</v>
      </c>
      <c r="C109" s="18">
        <v>0</v>
      </c>
      <c r="D109" s="18">
        <v>0</v>
      </c>
      <c r="E109" s="18">
        <v>0</v>
      </c>
    </row>
    <row r="110" spans="1:5" x14ac:dyDescent="0.25">
      <c r="A110" s="18">
        <v>1980</v>
      </c>
      <c r="B110" s="18" t="s">
        <v>21</v>
      </c>
      <c r="C110" s="18">
        <v>60265</v>
      </c>
      <c r="D110" s="18">
        <v>31115</v>
      </c>
      <c r="E110" s="18">
        <v>29147</v>
      </c>
    </row>
    <row r="111" spans="1:5" x14ac:dyDescent="0.25">
      <c r="A111" s="18">
        <v>1981</v>
      </c>
      <c r="B111" s="18" t="s">
        <v>21</v>
      </c>
      <c r="C111" s="18">
        <v>0</v>
      </c>
      <c r="D111" s="18">
        <v>0</v>
      </c>
      <c r="E111" s="18">
        <v>0</v>
      </c>
    </row>
    <row r="112" spans="1:5" x14ac:dyDescent="0.25">
      <c r="A112" s="18">
        <v>1982</v>
      </c>
      <c r="B112" s="18" t="s">
        <v>21</v>
      </c>
      <c r="C112" s="18">
        <v>0</v>
      </c>
      <c r="D112" s="18">
        <v>0</v>
      </c>
      <c r="E112" s="18">
        <v>0</v>
      </c>
    </row>
    <row r="113" spans="1:5" x14ac:dyDescent="0.25">
      <c r="A113" s="18">
        <v>1983</v>
      </c>
      <c r="B113" s="18" t="s">
        <v>21</v>
      </c>
      <c r="C113" s="18">
        <v>0</v>
      </c>
      <c r="D113" s="18">
        <v>0</v>
      </c>
      <c r="E113" s="18">
        <v>0</v>
      </c>
    </row>
    <row r="114" spans="1:5" x14ac:dyDescent="0.25">
      <c r="A114" s="18">
        <v>1984</v>
      </c>
      <c r="B114" s="18" t="s">
        <v>21</v>
      </c>
      <c r="C114" s="18">
        <v>0</v>
      </c>
      <c r="D114" s="18">
        <v>0</v>
      </c>
      <c r="E114" s="18">
        <v>0</v>
      </c>
    </row>
    <row r="115" spans="1:5" x14ac:dyDescent="0.25">
      <c r="A115" s="18">
        <v>1985</v>
      </c>
      <c r="B115" s="18" t="s">
        <v>21</v>
      </c>
      <c r="C115" s="18">
        <v>97299</v>
      </c>
      <c r="D115" s="18">
        <v>49629</v>
      </c>
      <c r="E115" s="18">
        <v>47669</v>
      </c>
    </row>
    <row r="116" spans="1:5" x14ac:dyDescent="0.25">
      <c r="A116" s="18">
        <v>1986</v>
      </c>
      <c r="B116" s="18" t="s">
        <v>21</v>
      </c>
      <c r="C116" s="18">
        <v>0</v>
      </c>
      <c r="D116" s="18">
        <v>0</v>
      </c>
      <c r="E116" s="18">
        <v>0</v>
      </c>
    </row>
    <row r="117" spans="1:5" x14ac:dyDescent="0.25">
      <c r="A117" s="18">
        <v>1987</v>
      </c>
      <c r="B117" s="18" t="s">
        <v>21</v>
      </c>
      <c r="C117" s="18">
        <v>0</v>
      </c>
      <c r="D117" s="18">
        <v>0</v>
      </c>
      <c r="E117" s="18">
        <v>0</v>
      </c>
    </row>
    <row r="118" spans="1:5" x14ac:dyDescent="0.25">
      <c r="A118" s="18">
        <v>1988</v>
      </c>
      <c r="B118" s="18" t="s">
        <v>21</v>
      </c>
      <c r="C118" s="18">
        <v>0</v>
      </c>
      <c r="D118" s="18">
        <v>0</v>
      </c>
      <c r="E118" s="18">
        <v>0</v>
      </c>
    </row>
    <row r="119" spans="1:5" x14ac:dyDescent="0.25">
      <c r="A119" s="18">
        <v>1989</v>
      </c>
      <c r="B119" s="18" t="s">
        <v>21</v>
      </c>
      <c r="C119" s="18">
        <v>0</v>
      </c>
      <c r="D119" s="18">
        <v>0</v>
      </c>
      <c r="E119" s="18">
        <v>0</v>
      </c>
    </row>
    <row r="120" spans="1:5" x14ac:dyDescent="0.25">
      <c r="A120" s="18">
        <v>1990</v>
      </c>
      <c r="B120" s="18" t="s">
        <v>21</v>
      </c>
      <c r="C120" s="18">
        <v>123619</v>
      </c>
      <c r="D120" s="18">
        <v>63557</v>
      </c>
      <c r="E120" s="18">
        <v>60062</v>
      </c>
    </row>
    <row r="121" spans="1:5" x14ac:dyDescent="0.25">
      <c r="A121" s="18">
        <v>1991</v>
      </c>
      <c r="B121" s="18" t="s">
        <v>21</v>
      </c>
      <c r="C121" s="18">
        <v>0</v>
      </c>
      <c r="D121" s="18">
        <v>0</v>
      </c>
      <c r="E121" s="18">
        <v>0</v>
      </c>
    </row>
    <row r="122" spans="1:5" x14ac:dyDescent="0.25">
      <c r="A122" s="18">
        <v>1992</v>
      </c>
      <c r="B122" s="18" t="s">
        <v>21</v>
      </c>
      <c r="C122" s="18">
        <v>0</v>
      </c>
      <c r="D122" s="18">
        <v>0</v>
      </c>
      <c r="E122" s="18">
        <v>0</v>
      </c>
    </row>
    <row r="123" spans="1:5" x14ac:dyDescent="0.25">
      <c r="A123" s="18">
        <v>1993</v>
      </c>
      <c r="B123" s="18" t="s">
        <v>21</v>
      </c>
      <c r="C123" s="18">
        <v>0</v>
      </c>
      <c r="D123" s="18">
        <v>0</v>
      </c>
      <c r="E123" s="18">
        <v>0</v>
      </c>
    </row>
    <row r="124" spans="1:5" x14ac:dyDescent="0.25">
      <c r="A124" s="18">
        <v>1994</v>
      </c>
      <c r="B124" s="18" t="s">
        <v>21</v>
      </c>
      <c r="C124" s="18">
        <v>0</v>
      </c>
      <c r="D124" s="18">
        <v>0</v>
      </c>
      <c r="E124" s="18">
        <v>0</v>
      </c>
    </row>
    <row r="125" spans="1:5" x14ac:dyDescent="0.25">
      <c r="A125" s="18">
        <v>1995</v>
      </c>
      <c r="B125" s="18" t="s">
        <v>21</v>
      </c>
      <c r="C125" s="18">
        <v>0</v>
      </c>
      <c r="D125" s="18">
        <v>0</v>
      </c>
      <c r="E125" s="18">
        <v>0</v>
      </c>
    </row>
    <row r="126" spans="1:5" x14ac:dyDescent="0.25">
      <c r="A126" s="18">
        <v>1996</v>
      </c>
      <c r="B126" s="18" t="s">
        <v>21</v>
      </c>
      <c r="C126" s="18">
        <v>0</v>
      </c>
      <c r="D126" s="18">
        <v>0</v>
      </c>
      <c r="E126" s="18">
        <v>0</v>
      </c>
    </row>
    <row r="127" spans="1:5" x14ac:dyDescent="0.25">
      <c r="A127" s="18">
        <v>1997</v>
      </c>
      <c r="B127" s="18" t="s">
        <v>21</v>
      </c>
      <c r="C127" s="18">
        <v>0</v>
      </c>
      <c r="D127" s="18">
        <v>0</v>
      </c>
      <c r="E127" s="18">
        <v>0</v>
      </c>
    </row>
    <row r="128" spans="1:5" x14ac:dyDescent="0.25">
      <c r="A128" s="18">
        <v>1998</v>
      </c>
      <c r="B128" s="18" t="s">
        <v>21</v>
      </c>
      <c r="C128" s="18">
        <v>0</v>
      </c>
      <c r="D128" s="18">
        <v>0</v>
      </c>
      <c r="E128" s="18">
        <v>0</v>
      </c>
    </row>
    <row r="129" spans="1:5" x14ac:dyDescent="0.25">
      <c r="A129" s="18">
        <v>1999</v>
      </c>
      <c r="B129" s="18" t="s">
        <v>21</v>
      </c>
      <c r="C129" s="18">
        <v>0</v>
      </c>
      <c r="D129" s="18">
        <v>0</v>
      </c>
      <c r="E129" s="18">
        <v>0</v>
      </c>
    </row>
    <row r="130" spans="1:5" x14ac:dyDescent="0.25">
      <c r="A130" s="18">
        <v>2000</v>
      </c>
      <c r="B130" s="18" t="s">
        <v>21</v>
      </c>
      <c r="C130" s="18">
        <v>149273</v>
      </c>
      <c r="D130" s="18">
        <v>76762</v>
      </c>
      <c r="E130" s="18">
        <v>72516</v>
      </c>
    </row>
    <row r="131" spans="1:5" x14ac:dyDescent="0.25">
      <c r="A131" s="18">
        <v>2001</v>
      </c>
      <c r="B131" s="18" t="s">
        <v>21</v>
      </c>
      <c r="C131" s="18">
        <v>0</v>
      </c>
      <c r="D131" s="18">
        <v>0</v>
      </c>
      <c r="E131" s="18">
        <v>0</v>
      </c>
    </row>
    <row r="132" spans="1:5" x14ac:dyDescent="0.25">
      <c r="A132" s="18">
        <v>2002</v>
      </c>
      <c r="B132" s="18" t="s">
        <v>21</v>
      </c>
      <c r="C132" s="18">
        <v>0</v>
      </c>
      <c r="D132" s="18">
        <v>0</v>
      </c>
      <c r="E132" s="18">
        <v>0</v>
      </c>
    </row>
    <row r="133" spans="1:5" x14ac:dyDescent="0.25">
      <c r="A133" s="18">
        <v>2003</v>
      </c>
      <c r="B133" s="18" t="s">
        <v>21</v>
      </c>
      <c r="C133" s="18">
        <v>0</v>
      </c>
      <c r="D133" s="18">
        <v>0</v>
      </c>
      <c r="E133" s="18">
        <v>0</v>
      </c>
    </row>
    <row r="134" spans="1:5" x14ac:dyDescent="0.25">
      <c r="A134" s="18">
        <v>2004</v>
      </c>
      <c r="B134" s="18" t="s">
        <v>21</v>
      </c>
      <c r="C134" s="18">
        <v>0</v>
      </c>
      <c r="D134" s="18">
        <v>0</v>
      </c>
      <c r="E134" s="18">
        <v>0</v>
      </c>
    </row>
    <row r="135" spans="1:5" x14ac:dyDescent="0.25">
      <c r="A135" s="18">
        <v>2005</v>
      </c>
      <c r="B135" s="18" t="s">
        <v>21</v>
      </c>
      <c r="C135" s="18">
        <v>0</v>
      </c>
      <c r="D135" s="18">
        <v>0</v>
      </c>
      <c r="E135" s="18">
        <v>0</v>
      </c>
    </row>
    <row r="136" spans="1:5" x14ac:dyDescent="0.25">
      <c r="A136" s="18">
        <v>2006</v>
      </c>
      <c r="B136" s="18" t="s">
        <v>21</v>
      </c>
      <c r="C136" s="18">
        <v>0</v>
      </c>
      <c r="D136" s="18">
        <v>0</v>
      </c>
      <c r="E136" s="18">
        <v>0</v>
      </c>
    </row>
    <row r="137" spans="1:5" x14ac:dyDescent="0.25">
      <c r="A137" s="18">
        <v>2007</v>
      </c>
      <c r="B137" s="18" t="s">
        <v>21</v>
      </c>
      <c r="C137" s="18">
        <v>0</v>
      </c>
      <c r="D137" s="18">
        <v>0</v>
      </c>
      <c r="E137" s="18">
        <v>0</v>
      </c>
    </row>
    <row r="138" spans="1:5" x14ac:dyDescent="0.25">
      <c r="A138" s="18">
        <v>2008</v>
      </c>
      <c r="B138" s="18" t="s">
        <v>21</v>
      </c>
      <c r="C138" s="18">
        <v>0</v>
      </c>
      <c r="D138" s="18">
        <v>0</v>
      </c>
      <c r="E138" s="18">
        <v>0</v>
      </c>
    </row>
    <row r="139" spans="1:5" x14ac:dyDescent="0.25">
      <c r="A139" s="18">
        <v>1931</v>
      </c>
      <c r="B139" s="18" t="s">
        <v>22</v>
      </c>
      <c r="C139" s="18">
        <v>0</v>
      </c>
      <c r="D139" s="18">
        <v>0</v>
      </c>
      <c r="E139" s="18">
        <v>0</v>
      </c>
    </row>
    <row r="140" spans="1:5" x14ac:dyDescent="0.25">
      <c r="A140" s="18">
        <v>1932</v>
      </c>
      <c r="B140" s="18" t="s">
        <v>22</v>
      </c>
      <c r="C140" s="18">
        <v>0</v>
      </c>
      <c r="D140" s="18">
        <v>0</v>
      </c>
      <c r="E140" s="18">
        <v>0</v>
      </c>
    </row>
    <row r="141" spans="1:5" x14ac:dyDescent="0.25">
      <c r="A141" s="18">
        <v>1933</v>
      </c>
      <c r="B141" s="18" t="s">
        <v>22</v>
      </c>
      <c r="C141" s="18">
        <v>0</v>
      </c>
      <c r="D141" s="18">
        <v>0</v>
      </c>
      <c r="E141" s="18">
        <v>0</v>
      </c>
    </row>
    <row r="142" spans="1:5" x14ac:dyDescent="0.25">
      <c r="A142" s="18">
        <v>1934</v>
      </c>
      <c r="B142" s="18" t="s">
        <v>22</v>
      </c>
      <c r="C142" s="18">
        <v>0</v>
      </c>
      <c r="D142" s="18">
        <v>0</v>
      </c>
      <c r="E142" s="18">
        <v>0</v>
      </c>
    </row>
    <row r="143" spans="1:5" x14ac:dyDescent="0.25">
      <c r="A143" s="18">
        <v>1935</v>
      </c>
      <c r="B143" s="18" t="s">
        <v>22</v>
      </c>
      <c r="C143" s="18">
        <v>0</v>
      </c>
      <c r="D143" s="18">
        <v>0</v>
      </c>
      <c r="E143" s="18">
        <v>0</v>
      </c>
    </row>
    <row r="144" spans="1:5" x14ac:dyDescent="0.25">
      <c r="A144" s="18">
        <v>1936</v>
      </c>
      <c r="B144" s="18" t="s">
        <v>22</v>
      </c>
      <c r="C144" s="18">
        <v>0</v>
      </c>
      <c r="D144" s="18">
        <v>0</v>
      </c>
      <c r="E144" s="18">
        <v>0</v>
      </c>
    </row>
    <row r="145" spans="1:5" x14ac:dyDescent="0.25">
      <c r="A145" s="18">
        <v>1937</v>
      </c>
      <c r="B145" s="18" t="s">
        <v>22</v>
      </c>
      <c r="C145" s="18">
        <v>0</v>
      </c>
      <c r="D145" s="18">
        <v>0</v>
      </c>
      <c r="E145" s="18">
        <v>0</v>
      </c>
    </row>
    <row r="146" spans="1:5" x14ac:dyDescent="0.25">
      <c r="A146" s="18">
        <v>1938</v>
      </c>
      <c r="B146" s="18" t="s">
        <v>22</v>
      </c>
      <c r="C146" s="18">
        <v>0</v>
      </c>
      <c r="D146" s="18">
        <v>0</v>
      </c>
      <c r="E146" s="18">
        <v>0</v>
      </c>
    </row>
    <row r="147" spans="1:5" x14ac:dyDescent="0.25">
      <c r="A147" s="18">
        <v>1939</v>
      </c>
      <c r="B147" s="18" t="s">
        <v>22</v>
      </c>
      <c r="C147" s="18">
        <v>0</v>
      </c>
      <c r="D147" s="18">
        <v>0</v>
      </c>
      <c r="E147" s="18">
        <v>0</v>
      </c>
    </row>
    <row r="148" spans="1:5" x14ac:dyDescent="0.25">
      <c r="A148" s="18">
        <v>1940</v>
      </c>
      <c r="B148" s="18" t="s">
        <v>22</v>
      </c>
      <c r="C148" s="18">
        <v>0</v>
      </c>
      <c r="D148" s="18">
        <v>0</v>
      </c>
      <c r="E148" s="18">
        <v>0</v>
      </c>
    </row>
    <row r="149" spans="1:5" x14ac:dyDescent="0.25">
      <c r="A149" s="18">
        <v>1941</v>
      </c>
      <c r="B149" s="18" t="s">
        <v>22</v>
      </c>
      <c r="C149" s="18">
        <v>0</v>
      </c>
      <c r="D149" s="18">
        <v>0</v>
      </c>
      <c r="E149" s="18">
        <v>0</v>
      </c>
    </row>
    <row r="150" spans="1:5" x14ac:dyDescent="0.25">
      <c r="A150" s="18">
        <v>1942</v>
      </c>
      <c r="B150" s="18" t="s">
        <v>22</v>
      </c>
      <c r="C150" s="18">
        <v>0</v>
      </c>
      <c r="D150" s="18">
        <v>0</v>
      </c>
      <c r="E150" s="18">
        <v>0</v>
      </c>
    </row>
    <row r="151" spans="1:5" x14ac:dyDescent="0.25">
      <c r="A151" s="18">
        <v>1943</v>
      </c>
      <c r="B151" s="18" t="s">
        <v>22</v>
      </c>
      <c r="C151" s="18">
        <v>0</v>
      </c>
      <c r="D151" s="18">
        <v>0</v>
      </c>
      <c r="E151" s="18">
        <v>0</v>
      </c>
    </row>
    <row r="152" spans="1:5" x14ac:dyDescent="0.25">
      <c r="A152" s="18">
        <v>1944</v>
      </c>
      <c r="B152" s="18" t="s">
        <v>22</v>
      </c>
      <c r="C152" s="18">
        <v>0</v>
      </c>
      <c r="D152" s="18">
        <v>0</v>
      </c>
      <c r="E152" s="18">
        <v>0</v>
      </c>
    </row>
    <row r="153" spans="1:5" x14ac:dyDescent="0.25">
      <c r="A153" s="18">
        <v>1945</v>
      </c>
      <c r="B153" s="18" t="s">
        <v>22</v>
      </c>
      <c r="C153" s="18">
        <v>0</v>
      </c>
      <c r="D153" s="18">
        <v>0</v>
      </c>
      <c r="E153" s="18">
        <v>0</v>
      </c>
    </row>
    <row r="154" spans="1:5" x14ac:dyDescent="0.25">
      <c r="A154" s="18">
        <v>1946</v>
      </c>
      <c r="B154" s="18" t="s">
        <v>22</v>
      </c>
      <c r="C154" s="18">
        <v>0</v>
      </c>
      <c r="D154" s="18">
        <v>0</v>
      </c>
      <c r="E154" s="18">
        <v>0</v>
      </c>
    </row>
    <row r="155" spans="1:5" x14ac:dyDescent="0.25">
      <c r="A155" s="18">
        <v>1947</v>
      </c>
      <c r="B155" s="18" t="s">
        <v>22</v>
      </c>
      <c r="C155" s="18">
        <v>0</v>
      </c>
      <c r="D155" s="18">
        <v>0</v>
      </c>
      <c r="E155" s="18">
        <v>0</v>
      </c>
    </row>
    <row r="156" spans="1:5" x14ac:dyDescent="0.25">
      <c r="A156" s="18">
        <v>1948</v>
      </c>
      <c r="B156" s="18" t="s">
        <v>22</v>
      </c>
      <c r="C156" s="18">
        <v>0</v>
      </c>
      <c r="D156" s="18">
        <v>0</v>
      </c>
      <c r="E156" s="18">
        <v>0</v>
      </c>
    </row>
    <row r="157" spans="1:5" x14ac:dyDescent="0.25">
      <c r="A157" s="18">
        <v>1949</v>
      </c>
      <c r="B157" s="18" t="s">
        <v>22</v>
      </c>
      <c r="C157" s="18">
        <v>0</v>
      </c>
      <c r="D157" s="18">
        <v>0</v>
      </c>
      <c r="E157" s="18">
        <v>0</v>
      </c>
    </row>
    <row r="158" spans="1:5" x14ac:dyDescent="0.25">
      <c r="A158" s="18">
        <v>1950</v>
      </c>
      <c r="B158" s="18" t="s">
        <v>22</v>
      </c>
      <c r="C158" s="18">
        <v>0</v>
      </c>
      <c r="D158" s="18">
        <v>0</v>
      </c>
      <c r="E158" s="18">
        <v>0</v>
      </c>
    </row>
    <row r="159" spans="1:5" x14ac:dyDescent="0.25">
      <c r="A159" s="18">
        <v>1951</v>
      </c>
      <c r="B159" s="18" t="s">
        <v>22</v>
      </c>
      <c r="C159" s="18">
        <v>0</v>
      </c>
      <c r="D159" s="18">
        <v>0</v>
      </c>
      <c r="E159" s="18">
        <v>0</v>
      </c>
    </row>
    <row r="160" spans="1:5" x14ac:dyDescent="0.25">
      <c r="A160" s="18">
        <v>1952</v>
      </c>
      <c r="B160" s="18" t="s">
        <v>22</v>
      </c>
      <c r="C160" s="18">
        <v>0</v>
      </c>
      <c r="D160" s="18">
        <v>0</v>
      </c>
      <c r="E160" s="18">
        <v>0</v>
      </c>
    </row>
    <row r="161" spans="1:5" x14ac:dyDescent="0.25">
      <c r="A161" s="18">
        <v>1953</v>
      </c>
      <c r="B161" s="18" t="s">
        <v>22</v>
      </c>
      <c r="C161" s="18">
        <v>0</v>
      </c>
      <c r="D161" s="18">
        <v>0</v>
      </c>
      <c r="E161" s="18">
        <v>0</v>
      </c>
    </row>
    <row r="162" spans="1:5" x14ac:dyDescent="0.25">
      <c r="A162" s="18">
        <v>1954</v>
      </c>
      <c r="B162" s="18" t="s">
        <v>22</v>
      </c>
      <c r="C162" s="18">
        <v>0</v>
      </c>
      <c r="D162" s="18">
        <v>0</v>
      </c>
      <c r="E162" s="18">
        <v>0</v>
      </c>
    </row>
    <row r="163" spans="1:5" x14ac:dyDescent="0.25">
      <c r="A163" s="18">
        <v>1955</v>
      </c>
      <c r="B163" s="18" t="s">
        <v>22</v>
      </c>
      <c r="C163" s="18">
        <v>0</v>
      </c>
      <c r="D163" s="18">
        <v>0</v>
      </c>
      <c r="E163" s="18">
        <v>0</v>
      </c>
    </row>
    <row r="164" spans="1:5" x14ac:dyDescent="0.25">
      <c r="A164" s="18">
        <v>1956</v>
      </c>
      <c r="B164" s="18" t="s">
        <v>22</v>
      </c>
      <c r="C164" s="18">
        <v>0</v>
      </c>
      <c r="D164" s="18">
        <v>0</v>
      </c>
      <c r="E164" s="18">
        <v>0</v>
      </c>
    </row>
    <row r="165" spans="1:5" x14ac:dyDescent="0.25">
      <c r="A165" s="18">
        <v>1957</v>
      </c>
      <c r="B165" s="18" t="s">
        <v>22</v>
      </c>
      <c r="C165" s="18">
        <v>0</v>
      </c>
      <c r="D165" s="18">
        <v>0</v>
      </c>
      <c r="E165" s="18">
        <v>0</v>
      </c>
    </row>
    <row r="166" spans="1:5" x14ac:dyDescent="0.25">
      <c r="A166" s="18">
        <v>1958</v>
      </c>
      <c r="B166" s="18" t="s">
        <v>22</v>
      </c>
      <c r="C166" s="18">
        <v>0</v>
      </c>
      <c r="D166" s="18">
        <v>0</v>
      </c>
      <c r="E166" s="18">
        <v>0</v>
      </c>
    </row>
    <row r="167" spans="1:5" x14ac:dyDescent="0.25">
      <c r="A167" s="18">
        <v>1959</v>
      </c>
      <c r="B167" s="18" t="s">
        <v>22</v>
      </c>
      <c r="C167" s="18">
        <v>0</v>
      </c>
      <c r="D167" s="18">
        <v>0</v>
      </c>
      <c r="E167" s="18">
        <v>0</v>
      </c>
    </row>
    <row r="168" spans="1:5" x14ac:dyDescent="0.25">
      <c r="A168" s="18">
        <v>1960</v>
      </c>
      <c r="B168" s="18" t="s">
        <v>22</v>
      </c>
      <c r="C168" s="18">
        <v>0</v>
      </c>
      <c r="D168" s="18">
        <v>0</v>
      </c>
      <c r="E168" s="18">
        <v>0</v>
      </c>
    </row>
    <row r="169" spans="1:5" x14ac:dyDescent="0.25">
      <c r="A169" s="18">
        <v>1961</v>
      </c>
      <c r="B169" s="18" t="s">
        <v>22</v>
      </c>
      <c r="C169" s="18">
        <v>0</v>
      </c>
      <c r="D169" s="18">
        <v>0</v>
      </c>
      <c r="E169" s="18">
        <v>0</v>
      </c>
    </row>
    <row r="170" spans="1:5" x14ac:dyDescent="0.25">
      <c r="A170" s="18">
        <v>1962</v>
      </c>
      <c r="B170" s="18" t="s">
        <v>22</v>
      </c>
      <c r="C170" s="18">
        <v>0</v>
      </c>
      <c r="D170" s="18">
        <v>0</v>
      </c>
      <c r="E170" s="18">
        <v>0</v>
      </c>
    </row>
    <row r="171" spans="1:5" x14ac:dyDescent="0.25">
      <c r="A171" s="18">
        <v>1963</v>
      </c>
      <c r="B171" s="18" t="s">
        <v>22</v>
      </c>
      <c r="C171" s="18">
        <v>0</v>
      </c>
      <c r="D171" s="18">
        <v>0</v>
      </c>
      <c r="E171" s="18">
        <v>0</v>
      </c>
    </row>
    <row r="172" spans="1:5" x14ac:dyDescent="0.25">
      <c r="A172" s="18">
        <v>1964</v>
      </c>
      <c r="B172" s="18" t="s">
        <v>22</v>
      </c>
      <c r="C172" s="18">
        <v>0</v>
      </c>
      <c r="D172" s="18">
        <v>0</v>
      </c>
      <c r="E172" s="18">
        <v>0</v>
      </c>
    </row>
    <row r="173" spans="1:5" x14ac:dyDescent="0.25">
      <c r="A173" s="18">
        <v>1965</v>
      </c>
      <c r="B173" s="18" t="s">
        <v>22</v>
      </c>
      <c r="C173" s="18">
        <v>0</v>
      </c>
      <c r="D173" s="18">
        <v>0</v>
      </c>
      <c r="E173" s="18">
        <v>0</v>
      </c>
    </row>
    <row r="174" spans="1:5" x14ac:dyDescent="0.25">
      <c r="A174" s="18">
        <v>1966</v>
      </c>
      <c r="B174" s="18" t="s">
        <v>22</v>
      </c>
      <c r="C174" s="18">
        <v>0</v>
      </c>
      <c r="D174" s="18">
        <v>0</v>
      </c>
      <c r="E174" s="18">
        <v>0</v>
      </c>
    </row>
    <row r="175" spans="1:5" x14ac:dyDescent="0.25">
      <c r="A175" s="18">
        <v>1967</v>
      </c>
      <c r="B175" s="18" t="s">
        <v>22</v>
      </c>
      <c r="C175" s="18">
        <v>0</v>
      </c>
      <c r="D175" s="18">
        <v>0</v>
      </c>
      <c r="E175" s="18">
        <v>0</v>
      </c>
    </row>
    <row r="176" spans="1:5" x14ac:dyDescent="0.25">
      <c r="A176" s="18">
        <v>1968</v>
      </c>
      <c r="B176" s="18" t="s">
        <v>22</v>
      </c>
      <c r="C176" s="18">
        <v>0</v>
      </c>
      <c r="D176" s="18">
        <v>0</v>
      </c>
      <c r="E176" s="18">
        <v>0</v>
      </c>
    </row>
    <row r="177" spans="1:5" x14ac:dyDescent="0.25">
      <c r="A177" s="18">
        <v>1969</v>
      </c>
      <c r="B177" s="18" t="s">
        <v>22</v>
      </c>
      <c r="C177" s="18">
        <v>0</v>
      </c>
      <c r="D177" s="18">
        <v>0</v>
      </c>
      <c r="E177" s="18">
        <v>0</v>
      </c>
    </row>
    <row r="178" spans="1:5" x14ac:dyDescent="0.25">
      <c r="A178" s="18">
        <v>1970</v>
      </c>
      <c r="B178" s="18" t="s">
        <v>22</v>
      </c>
      <c r="C178" s="18">
        <v>18816</v>
      </c>
      <c r="D178" s="18">
        <v>8949</v>
      </c>
      <c r="E178" s="18">
        <v>9862</v>
      </c>
    </row>
    <row r="179" spans="1:5" x14ac:dyDescent="0.25">
      <c r="A179" s="18">
        <v>1971</v>
      </c>
      <c r="B179" s="18" t="s">
        <v>22</v>
      </c>
      <c r="C179" s="18">
        <v>0</v>
      </c>
      <c r="D179" s="18">
        <v>0</v>
      </c>
      <c r="E179" s="18">
        <v>0</v>
      </c>
    </row>
    <row r="180" spans="1:5" x14ac:dyDescent="0.25">
      <c r="A180" s="18">
        <v>1972</v>
      </c>
      <c r="B180" s="18" t="s">
        <v>22</v>
      </c>
      <c r="C180" s="18">
        <v>0</v>
      </c>
      <c r="D180" s="18">
        <v>0</v>
      </c>
      <c r="E180" s="18">
        <v>0</v>
      </c>
    </row>
    <row r="181" spans="1:5" x14ac:dyDescent="0.25">
      <c r="A181" s="18">
        <v>1973</v>
      </c>
      <c r="B181" s="18" t="s">
        <v>22</v>
      </c>
      <c r="C181" s="18">
        <v>0</v>
      </c>
      <c r="D181" s="18">
        <v>0</v>
      </c>
      <c r="E181" s="18">
        <v>0</v>
      </c>
    </row>
    <row r="182" spans="1:5" x14ac:dyDescent="0.25">
      <c r="A182" s="18">
        <v>1974</v>
      </c>
      <c r="B182" s="18" t="s">
        <v>22</v>
      </c>
      <c r="C182" s="18">
        <v>0</v>
      </c>
      <c r="D182" s="18">
        <v>0</v>
      </c>
      <c r="E182" s="18">
        <v>0</v>
      </c>
    </row>
    <row r="183" spans="1:5" x14ac:dyDescent="0.25">
      <c r="A183" s="18">
        <v>1975</v>
      </c>
      <c r="B183" s="18" t="s">
        <v>22</v>
      </c>
      <c r="C183" s="18">
        <v>0</v>
      </c>
      <c r="D183" s="18">
        <v>0</v>
      </c>
      <c r="E183" s="18">
        <v>0</v>
      </c>
    </row>
    <row r="184" spans="1:5" x14ac:dyDescent="0.25">
      <c r="A184" s="18">
        <v>1976</v>
      </c>
      <c r="B184" s="18" t="s">
        <v>22</v>
      </c>
      <c r="C184" s="18">
        <v>0</v>
      </c>
      <c r="D184" s="18">
        <v>0</v>
      </c>
      <c r="E184" s="18">
        <v>0</v>
      </c>
    </row>
    <row r="185" spans="1:5" x14ac:dyDescent="0.25">
      <c r="A185" s="18">
        <v>1977</v>
      </c>
      <c r="B185" s="18" t="s">
        <v>22</v>
      </c>
      <c r="C185" s="18">
        <v>0</v>
      </c>
      <c r="D185" s="18">
        <v>0</v>
      </c>
      <c r="E185" s="18">
        <v>0</v>
      </c>
    </row>
    <row r="186" spans="1:5" x14ac:dyDescent="0.25">
      <c r="A186" s="18">
        <v>1978</v>
      </c>
      <c r="B186" s="18" t="s">
        <v>22</v>
      </c>
      <c r="C186" s="18">
        <v>0</v>
      </c>
      <c r="D186" s="18">
        <v>0</v>
      </c>
      <c r="E186" s="18">
        <v>0</v>
      </c>
    </row>
    <row r="187" spans="1:5" x14ac:dyDescent="0.25">
      <c r="A187" s="18">
        <v>1979</v>
      </c>
      <c r="B187" s="18" t="s">
        <v>22</v>
      </c>
      <c r="C187" s="18">
        <v>0</v>
      </c>
      <c r="D187" s="18">
        <v>0</v>
      </c>
      <c r="E187" s="18">
        <v>0</v>
      </c>
    </row>
    <row r="188" spans="1:5" x14ac:dyDescent="0.25">
      <c r="A188" s="18">
        <v>1980</v>
      </c>
      <c r="B188" s="18" t="s">
        <v>22</v>
      </c>
      <c r="C188" s="18">
        <v>22515</v>
      </c>
      <c r="D188" s="18">
        <v>11456</v>
      </c>
      <c r="E188" s="18">
        <v>11059</v>
      </c>
    </row>
    <row r="189" spans="1:5" x14ac:dyDescent="0.25">
      <c r="A189" s="18">
        <v>1981</v>
      </c>
      <c r="B189" s="18" t="s">
        <v>22</v>
      </c>
      <c r="C189" s="18">
        <v>0</v>
      </c>
      <c r="D189" s="18">
        <v>0</v>
      </c>
      <c r="E189" s="18">
        <v>0</v>
      </c>
    </row>
    <row r="190" spans="1:5" x14ac:dyDescent="0.25">
      <c r="A190" s="18">
        <v>1982</v>
      </c>
      <c r="B190" s="18" t="s">
        <v>22</v>
      </c>
      <c r="C190" s="18">
        <v>0</v>
      </c>
      <c r="D190" s="18">
        <v>0</v>
      </c>
      <c r="E190" s="18">
        <v>0</v>
      </c>
    </row>
    <row r="191" spans="1:5" x14ac:dyDescent="0.25">
      <c r="A191" s="18">
        <v>1983</v>
      </c>
      <c r="B191" s="18" t="s">
        <v>22</v>
      </c>
      <c r="C191" s="18">
        <v>0</v>
      </c>
      <c r="D191" s="18">
        <v>0</v>
      </c>
      <c r="E191" s="18">
        <v>0</v>
      </c>
    </row>
    <row r="192" spans="1:5" x14ac:dyDescent="0.25">
      <c r="A192" s="18">
        <v>1984</v>
      </c>
      <c r="B192" s="18" t="s">
        <v>22</v>
      </c>
      <c r="C192" s="18">
        <v>0</v>
      </c>
      <c r="D192" s="18">
        <v>0</v>
      </c>
      <c r="E192" s="18">
        <v>0</v>
      </c>
    </row>
    <row r="193" spans="1:5" x14ac:dyDescent="0.25">
      <c r="A193" s="18">
        <v>1985</v>
      </c>
      <c r="B193" s="18" t="s">
        <v>22</v>
      </c>
      <c r="C193" s="18">
        <v>29655</v>
      </c>
      <c r="D193" s="18">
        <v>15317</v>
      </c>
      <c r="E193" s="18">
        <v>14338</v>
      </c>
    </row>
    <row r="194" spans="1:5" x14ac:dyDescent="0.25">
      <c r="A194" s="18">
        <v>1986</v>
      </c>
      <c r="B194" s="18" t="s">
        <v>22</v>
      </c>
      <c r="C194" s="18">
        <v>0</v>
      </c>
      <c r="D194" s="18">
        <v>0</v>
      </c>
      <c r="E194" s="18">
        <v>0</v>
      </c>
    </row>
    <row r="195" spans="1:5" x14ac:dyDescent="0.25">
      <c r="A195" s="18">
        <v>1987</v>
      </c>
      <c r="B195" s="18" t="s">
        <v>22</v>
      </c>
      <c r="C195" s="18">
        <v>0</v>
      </c>
      <c r="D195" s="18">
        <v>0</v>
      </c>
      <c r="E195" s="18">
        <v>0</v>
      </c>
    </row>
    <row r="196" spans="1:5" x14ac:dyDescent="0.25">
      <c r="A196" s="18">
        <v>1988</v>
      </c>
      <c r="B196" s="18" t="s">
        <v>22</v>
      </c>
      <c r="C196" s="18">
        <v>0</v>
      </c>
      <c r="D196" s="18">
        <v>0</v>
      </c>
      <c r="E196" s="18">
        <v>0</v>
      </c>
    </row>
    <row r="197" spans="1:5" x14ac:dyDescent="0.25">
      <c r="A197" s="18">
        <v>1989</v>
      </c>
      <c r="B197" s="18" t="s">
        <v>22</v>
      </c>
      <c r="C197" s="18">
        <v>0</v>
      </c>
      <c r="D197" s="18">
        <v>0</v>
      </c>
      <c r="E197" s="18">
        <v>0</v>
      </c>
    </row>
    <row r="198" spans="1:5" x14ac:dyDescent="0.25">
      <c r="A198" s="18">
        <v>1990</v>
      </c>
      <c r="B198" s="18" t="s">
        <v>22</v>
      </c>
      <c r="C198" s="18">
        <v>36179</v>
      </c>
      <c r="D198" s="18">
        <v>18408</v>
      </c>
      <c r="E198" s="18">
        <v>17771</v>
      </c>
    </row>
    <row r="199" spans="1:5" x14ac:dyDescent="0.25">
      <c r="A199" s="18">
        <v>1991</v>
      </c>
      <c r="B199" s="18" t="s">
        <v>22</v>
      </c>
      <c r="C199" s="18">
        <v>0</v>
      </c>
      <c r="D199" s="18">
        <v>0</v>
      </c>
      <c r="E199" s="18">
        <v>0</v>
      </c>
    </row>
    <row r="200" spans="1:5" x14ac:dyDescent="0.25">
      <c r="A200" s="18">
        <v>1992</v>
      </c>
      <c r="B200" s="18" t="s">
        <v>22</v>
      </c>
      <c r="C200" s="18">
        <v>0</v>
      </c>
      <c r="D200" s="18">
        <v>0</v>
      </c>
      <c r="E200" s="18">
        <v>0</v>
      </c>
    </row>
    <row r="201" spans="1:5" x14ac:dyDescent="0.25">
      <c r="A201" s="18">
        <v>1993</v>
      </c>
      <c r="B201" s="18" t="s">
        <v>22</v>
      </c>
      <c r="C201" s="18">
        <v>0</v>
      </c>
      <c r="D201" s="18">
        <v>0</v>
      </c>
      <c r="E201" s="18">
        <v>0</v>
      </c>
    </row>
    <row r="202" spans="1:5" x14ac:dyDescent="0.25">
      <c r="A202" s="18">
        <v>1994</v>
      </c>
      <c r="B202" s="18" t="s">
        <v>22</v>
      </c>
      <c r="C202" s="18">
        <v>0</v>
      </c>
      <c r="D202" s="18">
        <v>0</v>
      </c>
      <c r="E202" s="18">
        <v>0</v>
      </c>
    </row>
    <row r="203" spans="1:5" x14ac:dyDescent="0.25">
      <c r="A203" s="18">
        <v>1995</v>
      </c>
      <c r="B203" s="18" t="s">
        <v>22</v>
      </c>
      <c r="C203" s="18">
        <v>0</v>
      </c>
      <c r="D203" s="18">
        <v>0</v>
      </c>
      <c r="E203" s="18">
        <v>0</v>
      </c>
    </row>
    <row r="204" spans="1:5" x14ac:dyDescent="0.25">
      <c r="A204" s="18">
        <v>1996</v>
      </c>
      <c r="B204" s="18" t="s">
        <v>22</v>
      </c>
      <c r="C204" s="18">
        <v>0</v>
      </c>
      <c r="D204" s="18">
        <v>0</v>
      </c>
      <c r="E204" s="18">
        <v>0</v>
      </c>
    </row>
    <row r="205" spans="1:5" x14ac:dyDescent="0.25">
      <c r="A205" s="18">
        <v>1997</v>
      </c>
      <c r="B205" s="18" t="s">
        <v>22</v>
      </c>
      <c r="C205" s="18">
        <v>0</v>
      </c>
      <c r="D205" s="18">
        <v>0</v>
      </c>
      <c r="E205" s="18">
        <v>0</v>
      </c>
    </row>
    <row r="206" spans="1:5" x14ac:dyDescent="0.25">
      <c r="A206" s="18">
        <v>1998</v>
      </c>
      <c r="B206" s="18" t="s">
        <v>22</v>
      </c>
      <c r="C206" s="18">
        <v>0</v>
      </c>
      <c r="D206" s="18">
        <v>0</v>
      </c>
      <c r="E206" s="18">
        <v>0</v>
      </c>
    </row>
    <row r="207" spans="1:5" x14ac:dyDescent="0.25">
      <c r="A207" s="18">
        <v>1999</v>
      </c>
      <c r="B207" s="18" t="s">
        <v>22</v>
      </c>
      <c r="C207" s="18">
        <v>0</v>
      </c>
      <c r="D207" s="18">
        <v>0</v>
      </c>
      <c r="E207" s="18">
        <v>0</v>
      </c>
    </row>
    <row r="208" spans="1:5" x14ac:dyDescent="0.25">
      <c r="A208" s="18">
        <v>2000</v>
      </c>
      <c r="B208" s="18" t="s">
        <v>22</v>
      </c>
      <c r="C208" s="18">
        <v>37490</v>
      </c>
      <c r="D208" s="18">
        <v>19408</v>
      </c>
      <c r="E208" s="18">
        <v>18079</v>
      </c>
    </row>
    <row r="209" spans="1:5" x14ac:dyDescent="0.25">
      <c r="A209" s="18">
        <v>2001</v>
      </c>
      <c r="B209" s="18" t="s">
        <v>22</v>
      </c>
      <c r="C209" s="18">
        <v>0</v>
      </c>
      <c r="D209" s="18">
        <v>0</v>
      </c>
      <c r="E209" s="18">
        <v>0</v>
      </c>
    </row>
    <row r="210" spans="1:5" x14ac:dyDescent="0.25">
      <c r="A210" s="18">
        <v>2002</v>
      </c>
      <c r="B210" s="18" t="s">
        <v>22</v>
      </c>
      <c r="C210" s="18">
        <v>0</v>
      </c>
      <c r="D210" s="18">
        <v>0</v>
      </c>
      <c r="E210" s="18">
        <v>0</v>
      </c>
    </row>
    <row r="211" spans="1:5" x14ac:dyDescent="0.25">
      <c r="A211" s="18">
        <v>2003</v>
      </c>
      <c r="B211" s="18" t="s">
        <v>22</v>
      </c>
      <c r="C211" s="18">
        <v>0</v>
      </c>
      <c r="D211" s="18">
        <v>0</v>
      </c>
      <c r="E211" s="18">
        <v>0</v>
      </c>
    </row>
    <row r="212" spans="1:5" x14ac:dyDescent="0.25">
      <c r="A212" s="18">
        <v>2004</v>
      </c>
      <c r="B212" s="18" t="s">
        <v>22</v>
      </c>
      <c r="C212" s="18">
        <v>0</v>
      </c>
      <c r="D212" s="18">
        <v>0</v>
      </c>
      <c r="E212" s="18">
        <v>0</v>
      </c>
    </row>
    <row r="213" spans="1:5" x14ac:dyDescent="0.25">
      <c r="A213" s="18">
        <v>2005</v>
      </c>
      <c r="B213" s="18" t="s">
        <v>22</v>
      </c>
      <c r="C213" s="18">
        <v>0</v>
      </c>
      <c r="D213" s="18">
        <v>0</v>
      </c>
      <c r="E213" s="18">
        <v>0</v>
      </c>
    </row>
    <row r="214" spans="1:5" x14ac:dyDescent="0.25">
      <c r="A214" s="18">
        <v>2006</v>
      </c>
      <c r="B214" s="18" t="s">
        <v>22</v>
      </c>
      <c r="C214" s="18">
        <v>0</v>
      </c>
      <c r="D214" s="18">
        <v>0</v>
      </c>
      <c r="E214" s="18">
        <v>0</v>
      </c>
    </row>
    <row r="215" spans="1:5" x14ac:dyDescent="0.25">
      <c r="A215" s="18">
        <v>2007</v>
      </c>
      <c r="B215" s="18" t="s">
        <v>22</v>
      </c>
      <c r="C215" s="18">
        <v>0</v>
      </c>
      <c r="D215" s="18">
        <v>0</v>
      </c>
      <c r="E215" s="18">
        <v>0</v>
      </c>
    </row>
    <row r="216" spans="1:5" x14ac:dyDescent="0.25">
      <c r="A216" s="18">
        <v>2008</v>
      </c>
      <c r="B216" s="18" t="s">
        <v>22</v>
      </c>
      <c r="C216" s="18">
        <v>0</v>
      </c>
      <c r="D216" s="18">
        <v>0</v>
      </c>
      <c r="E216" s="1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9F4C-D103-4513-A582-FCD7C03133F1}">
  <dimension ref="A1:I1299"/>
  <sheetViews>
    <sheetView topLeftCell="A49" workbookViewId="0">
      <selection activeCell="J2067" sqref="J2067"/>
    </sheetView>
  </sheetViews>
  <sheetFormatPr defaultRowHeight="15" x14ac:dyDescent="0.25"/>
  <cols>
    <col min="1" max="5" width="9.140625" style="18"/>
    <col min="6" max="16384" width="9.140625" style="17"/>
  </cols>
  <sheetData>
    <row r="1" spans="1:5" x14ac:dyDescent="0.25">
      <c r="A1" s="16" t="s">
        <v>103</v>
      </c>
      <c r="B1" s="16" t="s">
        <v>104</v>
      </c>
      <c r="C1" s="16" t="s">
        <v>89</v>
      </c>
      <c r="D1" s="16" t="s">
        <v>90</v>
      </c>
      <c r="E1" s="16" t="s">
        <v>91</v>
      </c>
    </row>
    <row r="2" spans="1:5" x14ac:dyDescent="0.25">
      <c r="A2" s="18">
        <v>1950</v>
      </c>
      <c r="B2" s="18" t="s">
        <v>7</v>
      </c>
      <c r="C2" s="18">
        <v>0</v>
      </c>
      <c r="D2" s="18">
        <v>0</v>
      </c>
      <c r="E2" s="18">
        <v>0</v>
      </c>
    </row>
    <row r="3" spans="1:5" x14ac:dyDescent="0.25">
      <c r="A3" s="18">
        <v>1951</v>
      </c>
      <c r="B3" s="18" t="s">
        <v>7</v>
      </c>
      <c r="C3" s="18">
        <v>0</v>
      </c>
      <c r="D3" s="18">
        <v>0</v>
      </c>
      <c r="E3" s="18">
        <v>0</v>
      </c>
    </row>
    <row r="4" spans="1:5" x14ac:dyDescent="0.25">
      <c r="A4" s="18">
        <v>1952</v>
      </c>
      <c r="B4" s="18" t="s">
        <v>7</v>
      </c>
      <c r="C4" s="18">
        <v>0</v>
      </c>
      <c r="D4" s="18">
        <v>0</v>
      </c>
      <c r="E4" s="18">
        <v>0</v>
      </c>
    </row>
    <row r="5" spans="1:5" x14ac:dyDescent="0.25">
      <c r="A5" s="18">
        <v>1953</v>
      </c>
      <c r="B5" s="18" t="s">
        <v>7</v>
      </c>
      <c r="C5" s="18">
        <v>0</v>
      </c>
      <c r="D5" s="18">
        <v>0</v>
      </c>
      <c r="E5" s="18">
        <v>0</v>
      </c>
    </row>
    <row r="6" spans="1:5" x14ac:dyDescent="0.25">
      <c r="A6" s="18">
        <v>1954</v>
      </c>
      <c r="B6" s="18" t="s">
        <v>7</v>
      </c>
      <c r="C6" s="18">
        <v>0</v>
      </c>
      <c r="D6" s="18">
        <v>0</v>
      </c>
      <c r="E6" s="18">
        <v>0</v>
      </c>
    </row>
    <row r="7" spans="1:5" x14ac:dyDescent="0.25">
      <c r="A7" s="18">
        <v>1955</v>
      </c>
      <c r="B7" s="18" t="s">
        <v>7</v>
      </c>
      <c r="C7" s="18">
        <v>0</v>
      </c>
      <c r="D7" s="18">
        <v>0</v>
      </c>
      <c r="E7" s="18">
        <v>0</v>
      </c>
    </row>
    <row r="8" spans="1:5" x14ac:dyDescent="0.25">
      <c r="A8" s="18">
        <v>1956</v>
      </c>
      <c r="B8" s="18" t="s">
        <v>7</v>
      </c>
      <c r="C8" s="18">
        <v>0</v>
      </c>
      <c r="D8" s="18">
        <v>0</v>
      </c>
      <c r="E8" s="18">
        <v>0</v>
      </c>
    </row>
    <row r="9" spans="1:5" x14ac:dyDescent="0.25">
      <c r="A9" s="18">
        <v>1957</v>
      </c>
      <c r="B9" s="18" t="s">
        <v>7</v>
      </c>
      <c r="C9" s="18">
        <v>0</v>
      </c>
      <c r="D9" s="18">
        <v>0</v>
      </c>
      <c r="E9" s="18">
        <v>0</v>
      </c>
    </row>
    <row r="10" spans="1:5" x14ac:dyDescent="0.25">
      <c r="A10" s="18">
        <v>1958</v>
      </c>
      <c r="B10" s="18" t="s">
        <v>7</v>
      </c>
      <c r="C10" s="18">
        <v>0</v>
      </c>
      <c r="D10" s="18">
        <v>0</v>
      </c>
      <c r="E10" s="18">
        <v>0</v>
      </c>
    </row>
    <row r="11" spans="1:5" x14ac:dyDescent="0.25">
      <c r="A11" s="18">
        <v>1959</v>
      </c>
      <c r="B11" s="18" t="s">
        <v>7</v>
      </c>
      <c r="C11" s="18">
        <v>0</v>
      </c>
      <c r="D11" s="18">
        <v>0</v>
      </c>
      <c r="E11" s="18">
        <v>0</v>
      </c>
    </row>
    <row r="12" spans="1:5" x14ac:dyDescent="0.25">
      <c r="A12" s="18">
        <v>1960</v>
      </c>
      <c r="B12" s="18" t="s">
        <v>7</v>
      </c>
      <c r="C12" s="18">
        <v>0</v>
      </c>
      <c r="D12" s="18">
        <v>0</v>
      </c>
      <c r="E12" s="18">
        <v>0</v>
      </c>
    </row>
    <row r="13" spans="1:5" x14ac:dyDescent="0.25">
      <c r="A13" s="18">
        <v>1961</v>
      </c>
      <c r="B13" s="18" t="s">
        <v>7</v>
      </c>
      <c r="C13" s="18">
        <v>0</v>
      </c>
      <c r="D13" s="18">
        <v>0</v>
      </c>
      <c r="E13" s="18">
        <v>0</v>
      </c>
    </row>
    <row r="14" spans="1:5" x14ac:dyDescent="0.25">
      <c r="A14" s="18">
        <v>1962</v>
      </c>
      <c r="B14" s="18" t="s">
        <v>7</v>
      </c>
      <c r="C14" s="18">
        <v>0</v>
      </c>
      <c r="D14" s="18">
        <v>0</v>
      </c>
      <c r="E14" s="18">
        <v>0</v>
      </c>
    </row>
    <row r="15" spans="1:5" x14ac:dyDescent="0.25">
      <c r="A15" s="18">
        <v>1963</v>
      </c>
      <c r="B15" s="18" t="s">
        <v>7</v>
      </c>
      <c r="C15" s="18">
        <v>0</v>
      </c>
      <c r="D15" s="18">
        <v>0</v>
      </c>
      <c r="E15" s="18">
        <v>0</v>
      </c>
    </row>
    <row r="16" spans="1:5" x14ac:dyDescent="0.25">
      <c r="A16" s="18">
        <v>1964</v>
      </c>
      <c r="B16" s="18" t="s">
        <v>7</v>
      </c>
      <c r="C16" s="18">
        <v>0</v>
      </c>
      <c r="D16" s="18">
        <v>0</v>
      </c>
      <c r="E16" s="18">
        <v>0</v>
      </c>
    </row>
    <row r="17" spans="1:5" x14ac:dyDescent="0.25">
      <c r="A17" s="18">
        <v>1965</v>
      </c>
      <c r="B17" s="18" t="s">
        <v>7</v>
      </c>
      <c r="C17" s="18">
        <v>0</v>
      </c>
      <c r="D17" s="18">
        <v>0</v>
      </c>
      <c r="E17" s="18">
        <v>0</v>
      </c>
    </row>
    <row r="18" spans="1:5" x14ac:dyDescent="0.25">
      <c r="A18" s="18">
        <v>1966</v>
      </c>
      <c r="B18" s="18" t="s">
        <v>7</v>
      </c>
      <c r="C18" s="18">
        <v>0</v>
      </c>
      <c r="D18" s="18">
        <v>0</v>
      </c>
      <c r="E18" s="18">
        <v>0</v>
      </c>
    </row>
    <row r="19" spans="1:5" x14ac:dyDescent="0.25">
      <c r="A19" s="18">
        <v>1967</v>
      </c>
      <c r="B19" s="18" t="s">
        <v>7</v>
      </c>
      <c r="C19" s="18">
        <v>0</v>
      </c>
      <c r="D19" s="18">
        <v>0</v>
      </c>
      <c r="E19" s="18">
        <v>0</v>
      </c>
    </row>
    <row r="20" spans="1:5" x14ac:dyDescent="0.25">
      <c r="A20" s="18">
        <v>1968</v>
      </c>
      <c r="B20" s="18" t="s">
        <v>7</v>
      </c>
      <c r="C20" s="18">
        <v>0</v>
      </c>
      <c r="D20" s="18">
        <v>0</v>
      </c>
      <c r="E20" s="18">
        <v>0</v>
      </c>
    </row>
    <row r="21" spans="1:5" x14ac:dyDescent="0.25">
      <c r="A21" s="18">
        <v>1969</v>
      </c>
      <c r="B21" s="18" t="s">
        <v>7</v>
      </c>
      <c r="C21" s="18">
        <v>0</v>
      </c>
      <c r="D21" s="18">
        <v>0</v>
      </c>
      <c r="E21" s="18">
        <v>0</v>
      </c>
    </row>
    <row r="22" spans="1:5" x14ac:dyDescent="0.25">
      <c r="A22" s="18">
        <v>1970</v>
      </c>
      <c r="B22" s="18" t="s">
        <v>7</v>
      </c>
      <c r="C22" s="18">
        <v>0</v>
      </c>
      <c r="D22" s="18">
        <v>0</v>
      </c>
      <c r="E22" s="18">
        <v>0</v>
      </c>
    </row>
    <row r="23" spans="1:5" x14ac:dyDescent="0.25">
      <c r="A23" s="18">
        <v>1971</v>
      </c>
      <c r="B23" s="18" t="s">
        <v>7</v>
      </c>
      <c r="C23" s="18">
        <v>0</v>
      </c>
      <c r="D23" s="18">
        <v>0</v>
      </c>
      <c r="E23" s="18">
        <v>0</v>
      </c>
    </row>
    <row r="24" spans="1:5" x14ac:dyDescent="0.25">
      <c r="A24" s="18">
        <v>1972</v>
      </c>
      <c r="B24" s="18" t="s">
        <v>7</v>
      </c>
      <c r="C24" s="18">
        <v>0</v>
      </c>
      <c r="D24" s="18">
        <v>0</v>
      </c>
      <c r="E24" s="18">
        <v>0</v>
      </c>
    </row>
    <row r="25" spans="1:5" x14ac:dyDescent="0.25">
      <c r="A25" s="18">
        <v>1973</v>
      </c>
      <c r="B25" s="18" t="s">
        <v>7</v>
      </c>
      <c r="C25" s="18">
        <v>0</v>
      </c>
      <c r="D25" s="18">
        <v>0</v>
      </c>
      <c r="E25" s="18">
        <v>0</v>
      </c>
    </row>
    <row r="26" spans="1:5" x14ac:dyDescent="0.25">
      <c r="A26" s="18">
        <v>1974</v>
      </c>
      <c r="B26" s="18" t="s">
        <v>7</v>
      </c>
      <c r="C26" s="18">
        <v>0</v>
      </c>
      <c r="D26" s="18">
        <v>0</v>
      </c>
      <c r="E26" s="18">
        <v>0</v>
      </c>
    </row>
    <row r="27" spans="1:5" x14ac:dyDescent="0.25">
      <c r="A27" s="18">
        <v>1975</v>
      </c>
      <c r="B27" s="18" t="s">
        <v>7</v>
      </c>
      <c r="C27" s="18">
        <v>2674</v>
      </c>
      <c r="D27" s="18">
        <v>1434</v>
      </c>
      <c r="E27" s="18">
        <v>1240</v>
      </c>
    </row>
    <row r="28" spans="1:5" x14ac:dyDescent="0.25">
      <c r="A28" s="18">
        <v>1976</v>
      </c>
      <c r="B28" s="18" t="s">
        <v>7</v>
      </c>
      <c r="C28" s="18">
        <v>0</v>
      </c>
      <c r="D28" s="18">
        <v>0</v>
      </c>
      <c r="E28" s="18">
        <v>0</v>
      </c>
    </row>
    <row r="29" spans="1:5" x14ac:dyDescent="0.25">
      <c r="A29" s="18">
        <v>1977</v>
      </c>
      <c r="B29" s="18" t="s">
        <v>7</v>
      </c>
      <c r="C29" s="18">
        <v>0</v>
      </c>
      <c r="D29" s="18">
        <v>0</v>
      </c>
      <c r="E29" s="18">
        <v>0</v>
      </c>
    </row>
    <row r="30" spans="1:5" x14ac:dyDescent="0.25">
      <c r="A30" s="18">
        <v>1978</v>
      </c>
      <c r="B30" s="18" t="s">
        <v>7</v>
      </c>
      <c r="C30" s="18">
        <v>0</v>
      </c>
      <c r="D30" s="18">
        <v>0</v>
      </c>
      <c r="E30" s="18">
        <v>0</v>
      </c>
    </row>
    <row r="31" spans="1:5" x14ac:dyDescent="0.25">
      <c r="A31" s="18">
        <v>1979</v>
      </c>
      <c r="B31" s="18" t="s">
        <v>7</v>
      </c>
      <c r="C31" s="18">
        <v>0</v>
      </c>
      <c r="D31" s="18">
        <v>0</v>
      </c>
      <c r="E31" s="18">
        <v>0</v>
      </c>
    </row>
    <row r="32" spans="1:5" x14ac:dyDescent="0.25">
      <c r="A32" s="18">
        <v>1980</v>
      </c>
      <c r="B32" s="18" t="s">
        <v>7</v>
      </c>
      <c r="C32" s="18">
        <v>3579</v>
      </c>
      <c r="D32" s="18">
        <v>1866</v>
      </c>
      <c r="E32" s="18">
        <v>1713</v>
      </c>
    </row>
    <row r="33" spans="1:5" x14ac:dyDescent="0.25">
      <c r="A33" s="18">
        <v>1981</v>
      </c>
      <c r="B33" s="18" t="s">
        <v>7</v>
      </c>
      <c r="C33" s="18">
        <v>0</v>
      </c>
      <c r="D33" s="18">
        <v>0</v>
      </c>
      <c r="E33" s="18">
        <v>0</v>
      </c>
    </row>
    <row r="34" spans="1:5" x14ac:dyDescent="0.25">
      <c r="A34" s="18">
        <v>1982</v>
      </c>
      <c r="B34" s="18" t="s">
        <v>7</v>
      </c>
      <c r="C34" s="18">
        <v>0</v>
      </c>
      <c r="D34" s="18">
        <v>0</v>
      </c>
      <c r="E34" s="18">
        <v>0</v>
      </c>
    </row>
    <row r="35" spans="1:5" x14ac:dyDescent="0.25">
      <c r="A35" s="18">
        <v>1983</v>
      </c>
      <c r="B35" s="18" t="s">
        <v>7</v>
      </c>
      <c r="C35" s="18">
        <v>0</v>
      </c>
      <c r="D35" s="18">
        <v>0</v>
      </c>
      <c r="E35" s="18">
        <v>0</v>
      </c>
    </row>
    <row r="36" spans="1:5" x14ac:dyDescent="0.25">
      <c r="A36" s="18">
        <v>1984</v>
      </c>
      <c r="B36" s="18" t="s">
        <v>7</v>
      </c>
      <c r="C36" s="18">
        <v>0</v>
      </c>
      <c r="D36" s="18">
        <v>0</v>
      </c>
      <c r="E36" s="18">
        <v>0</v>
      </c>
    </row>
    <row r="37" spans="1:5" x14ac:dyDescent="0.25">
      <c r="A37" s="18">
        <v>1985</v>
      </c>
      <c r="B37" s="18" t="s">
        <v>7</v>
      </c>
      <c r="C37" s="18">
        <v>3098</v>
      </c>
      <c r="D37" s="18">
        <v>1641</v>
      </c>
      <c r="E37" s="18">
        <v>1456</v>
      </c>
    </row>
    <row r="38" spans="1:5" x14ac:dyDescent="0.25">
      <c r="A38" s="18">
        <v>1986</v>
      </c>
      <c r="B38" s="18" t="s">
        <v>7</v>
      </c>
      <c r="C38" s="18">
        <v>0</v>
      </c>
      <c r="D38" s="18">
        <v>0</v>
      </c>
      <c r="E38" s="18">
        <v>0</v>
      </c>
    </row>
    <row r="39" spans="1:5" x14ac:dyDescent="0.25">
      <c r="A39" s="18">
        <v>1987</v>
      </c>
      <c r="B39" s="18" t="s">
        <v>7</v>
      </c>
      <c r="C39" s="18">
        <v>0</v>
      </c>
      <c r="D39" s="18">
        <v>0</v>
      </c>
      <c r="E39" s="18">
        <v>0</v>
      </c>
    </row>
    <row r="40" spans="1:5" x14ac:dyDescent="0.25">
      <c r="A40" s="18">
        <v>1988</v>
      </c>
      <c r="B40" s="18" t="s">
        <v>7</v>
      </c>
      <c r="C40" s="18">
        <v>0</v>
      </c>
      <c r="D40" s="18">
        <v>0</v>
      </c>
      <c r="E40" s="18">
        <v>0</v>
      </c>
    </row>
    <row r="41" spans="1:5" x14ac:dyDescent="0.25">
      <c r="A41" s="18">
        <v>1989</v>
      </c>
      <c r="B41" s="18" t="s">
        <v>7</v>
      </c>
      <c r="C41" s="18">
        <v>0</v>
      </c>
      <c r="D41" s="18">
        <v>0</v>
      </c>
      <c r="E41" s="18">
        <v>0</v>
      </c>
    </row>
    <row r="42" spans="1:5" x14ac:dyDescent="0.25">
      <c r="A42" s="18">
        <v>1990</v>
      </c>
      <c r="B42" s="18" t="s">
        <v>7</v>
      </c>
      <c r="C42" s="18">
        <v>5107</v>
      </c>
      <c r="D42" s="18">
        <v>2633</v>
      </c>
      <c r="E42" s="18">
        <v>2474</v>
      </c>
    </row>
    <row r="43" spans="1:5" x14ac:dyDescent="0.25">
      <c r="A43" s="18">
        <v>1991</v>
      </c>
      <c r="B43" s="18" t="s">
        <v>7</v>
      </c>
      <c r="C43" s="18">
        <v>0</v>
      </c>
      <c r="D43" s="18">
        <v>0</v>
      </c>
      <c r="E43" s="18">
        <v>0</v>
      </c>
    </row>
    <row r="44" spans="1:5" x14ac:dyDescent="0.25">
      <c r="A44" s="18">
        <v>1992</v>
      </c>
      <c r="B44" s="18" t="s">
        <v>7</v>
      </c>
      <c r="C44" s="18">
        <v>0</v>
      </c>
      <c r="D44" s="18">
        <v>0</v>
      </c>
      <c r="E44" s="18">
        <v>0</v>
      </c>
    </row>
    <row r="45" spans="1:5" x14ac:dyDescent="0.25">
      <c r="A45" s="18">
        <v>1993</v>
      </c>
      <c r="B45" s="18" t="s">
        <v>7</v>
      </c>
      <c r="C45" s="18">
        <v>0</v>
      </c>
      <c r="D45" s="18">
        <v>0</v>
      </c>
      <c r="E45" s="18">
        <v>0</v>
      </c>
    </row>
    <row r="46" spans="1:5" x14ac:dyDescent="0.25">
      <c r="A46" s="18">
        <v>1994</v>
      </c>
      <c r="B46" s="18" t="s">
        <v>7</v>
      </c>
      <c r="C46" s="18">
        <v>0</v>
      </c>
      <c r="D46" s="18">
        <v>0</v>
      </c>
      <c r="E46" s="18">
        <v>0</v>
      </c>
    </row>
    <row r="47" spans="1:5" x14ac:dyDescent="0.25">
      <c r="A47" s="18">
        <v>1995</v>
      </c>
      <c r="B47" s="18" t="s">
        <v>7</v>
      </c>
      <c r="C47" s="18">
        <v>0</v>
      </c>
      <c r="D47" s="18">
        <v>0</v>
      </c>
      <c r="E47" s="18">
        <v>0</v>
      </c>
    </row>
    <row r="48" spans="1:5" x14ac:dyDescent="0.25">
      <c r="A48" s="18">
        <v>1996</v>
      </c>
      <c r="B48" s="18" t="s">
        <v>7</v>
      </c>
      <c r="C48" s="18">
        <v>0</v>
      </c>
      <c r="D48" s="18">
        <v>0</v>
      </c>
      <c r="E48" s="18">
        <v>0</v>
      </c>
    </row>
    <row r="49" spans="1:5" x14ac:dyDescent="0.25">
      <c r="A49" s="18">
        <v>1997</v>
      </c>
      <c r="B49" s="18" t="s">
        <v>7</v>
      </c>
      <c r="C49" s="18">
        <v>0</v>
      </c>
      <c r="D49" s="18">
        <v>0</v>
      </c>
      <c r="E49" s="18">
        <v>0</v>
      </c>
    </row>
    <row r="50" spans="1:5" x14ac:dyDescent="0.25">
      <c r="A50" s="18">
        <v>1998</v>
      </c>
      <c r="B50" s="18" t="s">
        <v>7</v>
      </c>
      <c r="C50" s="18">
        <v>0</v>
      </c>
      <c r="D50" s="18">
        <v>0</v>
      </c>
      <c r="E50" s="18">
        <v>0</v>
      </c>
    </row>
    <row r="51" spans="1:5" x14ac:dyDescent="0.25">
      <c r="A51" s="18">
        <v>1999</v>
      </c>
      <c r="B51" s="18" t="s">
        <v>7</v>
      </c>
      <c r="C51" s="18">
        <v>0</v>
      </c>
      <c r="D51" s="18">
        <v>0</v>
      </c>
      <c r="E51" s="18">
        <v>0</v>
      </c>
    </row>
    <row r="52" spans="1:5" x14ac:dyDescent="0.25">
      <c r="A52" s="18">
        <v>2000</v>
      </c>
      <c r="B52" s="18" t="s">
        <v>7</v>
      </c>
      <c r="C52" s="18">
        <v>7197</v>
      </c>
      <c r="D52" s="18">
        <v>3799</v>
      </c>
      <c r="E52" s="18">
        <v>3398</v>
      </c>
    </row>
    <row r="53" spans="1:5" x14ac:dyDescent="0.25">
      <c r="A53" s="18">
        <v>2001</v>
      </c>
      <c r="B53" s="18" t="s">
        <v>7</v>
      </c>
      <c r="C53" s="18">
        <v>0</v>
      </c>
      <c r="D53" s="18">
        <v>0</v>
      </c>
      <c r="E53" s="18">
        <v>0</v>
      </c>
    </row>
    <row r="54" spans="1:5" x14ac:dyDescent="0.25">
      <c r="A54" s="18">
        <v>2002</v>
      </c>
      <c r="B54" s="18" t="s">
        <v>7</v>
      </c>
      <c r="C54" s="18">
        <v>0</v>
      </c>
      <c r="D54" s="18">
        <v>0</v>
      </c>
      <c r="E54" s="18">
        <v>0</v>
      </c>
    </row>
    <row r="55" spans="1:5" x14ac:dyDescent="0.25">
      <c r="A55" s="18">
        <v>2003</v>
      </c>
      <c r="B55" s="18" t="s">
        <v>7</v>
      </c>
      <c r="C55" s="18">
        <v>0</v>
      </c>
      <c r="D55" s="18">
        <v>0</v>
      </c>
      <c r="E55" s="18">
        <v>0</v>
      </c>
    </row>
    <row r="56" spans="1:5" x14ac:dyDescent="0.25">
      <c r="A56" s="18">
        <v>2004</v>
      </c>
      <c r="B56" s="18" t="s">
        <v>7</v>
      </c>
      <c r="C56" s="18">
        <v>0</v>
      </c>
      <c r="D56" s="18">
        <v>0</v>
      </c>
      <c r="E56" s="18">
        <v>0</v>
      </c>
    </row>
    <row r="57" spans="1:5" x14ac:dyDescent="0.25">
      <c r="A57" s="18">
        <v>2005</v>
      </c>
      <c r="B57" s="18" t="s">
        <v>7</v>
      </c>
      <c r="C57" s="18">
        <v>0</v>
      </c>
      <c r="D57" s="18">
        <v>0</v>
      </c>
      <c r="E57" s="18">
        <v>0</v>
      </c>
    </row>
    <row r="58" spans="1:5" x14ac:dyDescent="0.25">
      <c r="A58" s="18">
        <v>2006</v>
      </c>
      <c r="B58" s="18" t="s">
        <v>7</v>
      </c>
      <c r="C58" s="18">
        <v>0</v>
      </c>
      <c r="D58" s="18">
        <v>0</v>
      </c>
      <c r="E58" s="18">
        <v>0</v>
      </c>
    </row>
    <row r="59" spans="1:5" x14ac:dyDescent="0.25">
      <c r="A59" s="18">
        <v>2007</v>
      </c>
      <c r="B59" s="18" t="s">
        <v>7</v>
      </c>
      <c r="C59" s="18">
        <v>0</v>
      </c>
      <c r="D59" s="18">
        <v>0</v>
      </c>
      <c r="E59" s="18">
        <v>0</v>
      </c>
    </row>
    <row r="60" spans="1:5" x14ac:dyDescent="0.25">
      <c r="A60" s="18">
        <v>2008</v>
      </c>
      <c r="B60" s="18" t="s">
        <v>7</v>
      </c>
      <c r="C60" s="18">
        <v>0</v>
      </c>
      <c r="D60" s="18">
        <v>0</v>
      </c>
      <c r="E60" s="18">
        <v>0</v>
      </c>
    </row>
    <row r="61" spans="1:5" x14ac:dyDescent="0.25">
      <c r="A61" s="18">
        <v>1950</v>
      </c>
      <c r="B61" s="18" t="s">
        <v>8</v>
      </c>
      <c r="C61" s="18">
        <v>0</v>
      </c>
      <c r="D61" s="18">
        <v>0</v>
      </c>
      <c r="E61" s="18">
        <v>0</v>
      </c>
    </row>
    <row r="62" spans="1:5" x14ac:dyDescent="0.25">
      <c r="A62" s="18">
        <v>1951</v>
      </c>
      <c r="B62" s="18" t="s">
        <v>8</v>
      </c>
      <c r="C62" s="18">
        <v>0</v>
      </c>
      <c r="D62" s="18">
        <v>0</v>
      </c>
      <c r="E62" s="18">
        <v>0</v>
      </c>
    </row>
    <row r="63" spans="1:5" x14ac:dyDescent="0.25">
      <c r="A63" s="18">
        <v>1952</v>
      </c>
      <c r="B63" s="18" t="s">
        <v>8</v>
      </c>
      <c r="C63" s="18">
        <v>0</v>
      </c>
      <c r="D63" s="18">
        <v>0</v>
      </c>
      <c r="E63" s="18">
        <v>0</v>
      </c>
    </row>
    <row r="64" spans="1:5" x14ac:dyDescent="0.25">
      <c r="A64" s="18">
        <v>1953</v>
      </c>
      <c r="B64" s="18" t="s">
        <v>8</v>
      </c>
      <c r="C64" s="18">
        <v>0</v>
      </c>
      <c r="D64" s="18">
        <v>0</v>
      </c>
      <c r="E64" s="18">
        <v>0</v>
      </c>
    </row>
    <row r="65" spans="1:5" x14ac:dyDescent="0.25">
      <c r="A65" s="18">
        <v>1954</v>
      </c>
      <c r="B65" s="18" t="s">
        <v>8</v>
      </c>
      <c r="C65" s="18">
        <v>0</v>
      </c>
      <c r="D65" s="18">
        <v>0</v>
      </c>
      <c r="E65" s="18">
        <v>0</v>
      </c>
    </row>
    <row r="66" spans="1:5" x14ac:dyDescent="0.25">
      <c r="A66" s="18">
        <v>1955</v>
      </c>
      <c r="B66" s="18" t="s">
        <v>8</v>
      </c>
      <c r="C66" s="18">
        <v>0</v>
      </c>
      <c r="D66" s="18">
        <v>0</v>
      </c>
      <c r="E66" s="18">
        <v>0</v>
      </c>
    </row>
    <row r="67" spans="1:5" x14ac:dyDescent="0.25">
      <c r="A67" s="18">
        <v>1956</v>
      </c>
      <c r="B67" s="18" t="s">
        <v>8</v>
      </c>
      <c r="C67" s="18">
        <v>0</v>
      </c>
      <c r="D67" s="18">
        <v>0</v>
      </c>
      <c r="E67" s="18">
        <v>0</v>
      </c>
    </row>
    <row r="68" spans="1:5" x14ac:dyDescent="0.25">
      <c r="A68" s="18">
        <v>1957</v>
      </c>
      <c r="B68" s="18" t="s">
        <v>8</v>
      </c>
      <c r="C68" s="18">
        <v>0</v>
      </c>
      <c r="D68" s="18">
        <v>0</v>
      </c>
      <c r="E68" s="18">
        <v>0</v>
      </c>
    </row>
    <row r="69" spans="1:5" x14ac:dyDescent="0.25">
      <c r="A69" s="18">
        <v>1958</v>
      </c>
      <c r="B69" s="18" t="s">
        <v>8</v>
      </c>
      <c r="C69" s="18">
        <v>0</v>
      </c>
      <c r="D69" s="18">
        <v>0</v>
      </c>
      <c r="E69" s="18">
        <v>0</v>
      </c>
    </row>
    <row r="70" spans="1:5" x14ac:dyDescent="0.25">
      <c r="A70" s="18">
        <v>1959</v>
      </c>
      <c r="B70" s="18" t="s">
        <v>8</v>
      </c>
      <c r="C70" s="18">
        <v>0</v>
      </c>
      <c r="D70" s="18">
        <v>0</v>
      </c>
      <c r="E70" s="18">
        <v>0</v>
      </c>
    </row>
    <row r="71" spans="1:5" x14ac:dyDescent="0.25">
      <c r="A71" s="18">
        <v>1960</v>
      </c>
      <c r="B71" s="18" t="s">
        <v>8</v>
      </c>
      <c r="C71" s="18">
        <v>0</v>
      </c>
      <c r="D71" s="18">
        <v>0</v>
      </c>
      <c r="E71" s="18">
        <v>0</v>
      </c>
    </row>
    <row r="72" spans="1:5" x14ac:dyDescent="0.25">
      <c r="A72" s="18">
        <v>1961</v>
      </c>
      <c r="B72" s="18" t="s">
        <v>8</v>
      </c>
      <c r="C72" s="18">
        <v>0</v>
      </c>
      <c r="D72" s="18">
        <v>0</v>
      </c>
      <c r="E72" s="18">
        <v>0</v>
      </c>
    </row>
    <row r="73" spans="1:5" x14ac:dyDescent="0.25">
      <c r="A73" s="18">
        <v>1962</v>
      </c>
      <c r="B73" s="18" t="s">
        <v>8</v>
      </c>
      <c r="C73" s="18">
        <v>0</v>
      </c>
      <c r="D73" s="18">
        <v>0</v>
      </c>
      <c r="E73" s="18">
        <v>0</v>
      </c>
    </row>
    <row r="74" spans="1:5" x14ac:dyDescent="0.25">
      <c r="A74" s="18">
        <v>1963</v>
      </c>
      <c r="B74" s="18" t="s">
        <v>8</v>
      </c>
      <c r="C74" s="18">
        <v>0</v>
      </c>
      <c r="D74" s="18">
        <v>0</v>
      </c>
      <c r="E74" s="18">
        <v>0</v>
      </c>
    </row>
    <row r="75" spans="1:5" x14ac:dyDescent="0.25">
      <c r="A75" s="18">
        <v>1964</v>
      </c>
      <c r="B75" s="18" t="s">
        <v>8</v>
      </c>
      <c r="C75" s="18">
        <v>0</v>
      </c>
      <c r="D75" s="18">
        <v>0</v>
      </c>
      <c r="E75" s="18">
        <v>0</v>
      </c>
    </row>
    <row r="76" spans="1:5" x14ac:dyDescent="0.25">
      <c r="A76" s="18">
        <v>1965</v>
      </c>
      <c r="B76" s="18" t="s">
        <v>8</v>
      </c>
      <c r="C76" s="18">
        <v>0</v>
      </c>
      <c r="D76" s="18">
        <v>0</v>
      </c>
      <c r="E76" s="18">
        <v>0</v>
      </c>
    </row>
    <row r="77" spans="1:5" x14ac:dyDescent="0.25">
      <c r="A77" s="18">
        <v>1966</v>
      </c>
      <c r="B77" s="18" t="s">
        <v>8</v>
      </c>
      <c r="C77" s="18">
        <v>0</v>
      </c>
      <c r="D77" s="18">
        <v>0</v>
      </c>
      <c r="E77" s="18">
        <v>0</v>
      </c>
    </row>
    <row r="78" spans="1:5" x14ac:dyDescent="0.25">
      <c r="A78" s="18">
        <v>1967</v>
      </c>
      <c r="B78" s="18" t="s">
        <v>8</v>
      </c>
      <c r="C78" s="18">
        <v>0</v>
      </c>
      <c r="D78" s="18">
        <v>0</v>
      </c>
      <c r="E78" s="18">
        <v>0</v>
      </c>
    </row>
    <row r="79" spans="1:5" x14ac:dyDescent="0.25">
      <c r="A79" s="18">
        <v>1968</v>
      </c>
      <c r="B79" s="18" t="s">
        <v>8</v>
      </c>
      <c r="C79" s="18">
        <v>0</v>
      </c>
      <c r="D79" s="18">
        <v>0</v>
      </c>
      <c r="E79" s="18">
        <v>0</v>
      </c>
    </row>
    <row r="80" spans="1:5" x14ac:dyDescent="0.25">
      <c r="A80" s="18">
        <v>1969</v>
      </c>
      <c r="B80" s="18" t="s">
        <v>8</v>
      </c>
      <c r="C80" s="18">
        <v>0</v>
      </c>
      <c r="D80" s="18">
        <v>0</v>
      </c>
      <c r="E80" s="18">
        <v>0</v>
      </c>
    </row>
    <row r="81" spans="1:5" x14ac:dyDescent="0.25">
      <c r="A81" s="18">
        <v>1970</v>
      </c>
      <c r="B81" s="18" t="s">
        <v>8</v>
      </c>
      <c r="C81" s="18">
        <v>0</v>
      </c>
      <c r="D81" s="18">
        <v>0</v>
      </c>
      <c r="E81" s="18">
        <v>0</v>
      </c>
    </row>
    <row r="82" spans="1:5" x14ac:dyDescent="0.25">
      <c r="A82" s="18">
        <v>1971</v>
      </c>
      <c r="B82" s="18" t="s">
        <v>8</v>
      </c>
      <c r="C82" s="18">
        <v>0</v>
      </c>
      <c r="D82" s="18">
        <v>0</v>
      </c>
      <c r="E82" s="18">
        <v>0</v>
      </c>
    </row>
    <row r="83" spans="1:5" x14ac:dyDescent="0.25">
      <c r="A83" s="18">
        <v>1972</v>
      </c>
      <c r="B83" s="18" t="s">
        <v>8</v>
      </c>
      <c r="C83" s="18">
        <v>0</v>
      </c>
      <c r="D83" s="18">
        <v>0</v>
      </c>
      <c r="E83" s="18">
        <v>0</v>
      </c>
    </row>
    <row r="84" spans="1:5" x14ac:dyDescent="0.25">
      <c r="A84" s="18">
        <v>1973</v>
      </c>
      <c r="B84" s="18" t="s">
        <v>8</v>
      </c>
      <c r="C84" s="18">
        <v>0</v>
      </c>
      <c r="D84" s="18">
        <v>0</v>
      </c>
      <c r="E84" s="18">
        <v>0</v>
      </c>
    </row>
    <row r="85" spans="1:5" x14ac:dyDescent="0.25">
      <c r="A85" s="18">
        <v>1974</v>
      </c>
      <c r="B85" s="18" t="s">
        <v>8</v>
      </c>
      <c r="C85" s="18">
        <v>0</v>
      </c>
      <c r="D85" s="18">
        <v>0</v>
      </c>
      <c r="E85" s="18">
        <v>0</v>
      </c>
    </row>
    <row r="86" spans="1:5" x14ac:dyDescent="0.25">
      <c r="A86" s="18">
        <v>1975</v>
      </c>
      <c r="B86" s="18" t="s">
        <v>8</v>
      </c>
      <c r="C86" s="18">
        <v>3145</v>
      </c>
      <c r="D86" s="18">
        <v>1659</v>
      </c>
      <c r="E86" s="18">
        <v>1486</v>
      </c>
    </row>
    <row r="87" spans="1:5" x14ac:dyDescent="0.25">
      <c r="A87" s="18">
        <v>1976</v>
      </c>
      <c r="B87" s="18" t="s">
        <v>8</v>
      </c>
      <c r="C87" s="18">
        <v>0</v>
      </c>
      <c r="D87" s="18">
        <v>0</v>
      </c>
      <c r="E87" s="18">
        <v>0</v>
      </c>
    </row>
    <row r="88" spans="1:5" x14ac:dyDescent="0.25">
      <c r="A88" s="18">
        <v>1977</v>
      </c>
      <c r="B88" s="18" t="s">
        <v>8</v>
      </c>
      <c r="C88" s="18">
        <v>0</v>
      </c>
      <c r="D88" s="18">
        <v>0</v>
      </c>
      <c r="E88" s="18">
        <v>0</v>
      </c>
    </row>
    <row r="89" spans="1:5" x14ac:dyDescent="0.25">
      <c r="A89" s="18">
        <v>1978</v>
      </c>
      <c r="B89" s="18" t="s">
        <v>8</v>
      </c>
      <c r="C89" s="18">
        <v>0</v>
      </c>
      <c r="D89" s="18">
        <v>0</v>
      </c>
      <c r="E89" s="18">
        <v>0</v>
      </c>
    </row>
    <row r="90" spans="1:5" x14ac:dyDescent="0.25">
      <c r="A90" s="18">
        <v>1979</v>
      </c>
      <c r="B90" s="18" t="s">
        <v>8</v>
      </c>
      <c r="C90" s="18">
        <v>0</v>
      </c>
      <c r="D90" s="18">
        <v>0</v>
      </c>
      <c r="E90" s="18">
        <v>0</v>
      </c>
    </row>
    <row r="91" spans="1:5" x14ac:dyDescent="0.25">
      <c r="A91" s="18">
        <v>1980</v>
      </c>
      <c r="B91" s="18" t="s">
        <v>8</v>
      </c>
      <c r="C91" s="18">
        <v>4423</v>
      </c>
      <c r="D91" s="18">
        <v>2332</v>
      </c>
      <c r="E91" s="18">
        <v>2091</v>
      </c>
    </row>
    <row r="92" spans="1:5" x14ac:dyDescent="0.25">
      <c r="A92" s="18">
        <v>1981</v>
      </c>
      <c r="B92" s="18" t="s">
        <v>8</v>
      </c>
      <c r="C92" s="18">
        <v>0</v>
      </c>
      <c r="D92" s="18">
        <v>0</v>
      </c>
      <c r="E92" s="18">
        <v>0</v>
      </c>
    </row>
    <row r="93" spans="1:5" x14ac:dyDescent="0.25">
      <c r="A93" s="18">
        <v>1982</v>
      </c>
      <c r="B93" s="18" t="s">
        <v>8</v>
      </c>
      <c r="C93" s="18">
        <v>0</v>
      </c>
      <c r="D93" s="18">
        <v>0</v>
      </c>
      <c r="E93" s="18">
        <v>0</v>
      </c>
    </row>
    <row r="94" spans="1:5" x14ac:dyDescent="0.25">
      <c r="A94" s="18">
        <v>1983</v>
      </c>
      <c r="B94" s="18" t="s">
        <v>8</v>
      </c>
      <c r="C94" s="18">
        <v>0</v>
      </c>
      <c r="D94" s="18">
        <v>0</v>
      </c>
      <c r="E94" s="18">
        <v>0</v>
      </c>
    </row>
    <row r="95" spans="1:5" x14ac:dyDescent="0.25">
      <c r="A95" s="18">
        <v>1984</v>
      </c>
      <c r="B95" s="18" t="s">
        <v>8</v>
      </c>
      <c r="C95" s="18">
        <v>0</v>
      </c>
      <c r="D95" s="18">
        <v>0</v>
      </c>
      <c r="E95" s="18">
        <v>0</v>
      </c>
    </row>
    <row r="96" spans="1:5" x14ac:dyDescent="0.25">
      <c r="A96" s="18">
        <v>1985</v>
      </c>
      <c r="B96" s="18" t="s">
        <v>8</v>
      </c>
      <c r="C96" s="18">
        <v>4145</v>
      </c>
      <c r="D96" s="18">
        <v>2063</v>
      </c>
      <c r="E96" s="18">
        <v>2083</v>
      </c>
    </row>
    <row r="97" spans="1:5" x14ac:dyDescent="0.25">
      <c r="A97" s="18">
        <v>1986</v>
      </c>
      <c r="B97" s="18" t="s">
        <v>8</v>
      </c>
      <c r="C97" s="18">
        <v>0</v>
      </c>
      <c r="D97" s="18">
        <v>0</v>
      </c>
      <c r="E97" s="18">
        <v>0</v>
      </c>
    </row>
    <row r="98" spans="1:5" x14ac:dyDescent="0.25">
      <c r="A98" s="18">
        <v>1987</v>
      </c>
      <c r="B98" s="18" t="s">
        <v>8</v>
      </c>
      <c r="C98" s="18">
        <v>0</v>
      </c>
      <c r="D98" s="18">
        <v>0</v>
      </c>
      <c r="E98" s="18">
        <v>0</v>
      </c>
    </row>
    <row r="99" spans="1:5" x14ac:dyDescent="0.25">
      <c r="A99" s="18">
        <v>1988</v>
      </c>
      <c r="B99" s="18" t="s">
        <v>8</v>
      </c>
      <c r="C99" s="18">
        <v>0</v>
      </c>
      <c r="D99" s="18">
        <v>0</v>
      </c>
      <c r="E99" s="18">
        <v>0</v>
      </c>
    </row>
    <row r="100" spans="1:5" x14ac:dyDescent="0.25">
      <c r="A100" s="18">
        <v>1989</v>
      </c>
      <c r="B100" s="18" t="s">
        <v>8</v>
      </c>
      <c r="C100" s="18">
        <v>0</v>
      </c>
      <c r="D100" s="18">
        <v>0</v>
      </c>
      <c r="E100" s="18">
        <v>0</v>
      </c>
    </row>
    <row r="101" spans="1:5" x14ac:dyDescent="0.25">
      <c r="A101" s="18">
        <v>1990</v>
      </c>
      <c r="B101" s="18" t="s">
        <v>8</v>
      </c>
      <c r="C101" s="18">
        <v>5169</v>
      </c>
      <c r="D101" s="18">
        <v>2627</v>
      </c>
      <c r="E101" s="18">
        <v>2542</v>
      </c>
    </row>
    <row r="102" spans="1:5" x14ac:dyDescent="0.25">
      <c r="A102" s="18">
        <v>1991</v>
      </c>
      <c r="B102" s="18" t="s">
        <v>8</v>
      </c>
      <c r="C102" s="18">
        <v>0</v>
      </c>
      <c r="D102" s="18">
        <v>0</v>
      </c>
      <c r="E102" s="18">
        <v>0</v>
      </c>
    </row>
    <row r="103" spans="1:5" x14ac:dyDescent="0.25">
      <c r="A103" s="18">
        <v>1992</v>
      </c>
      <c r="B103" s="18" t="s">
        <v>8</v>
      </c>
      <c r="C103" s="18">
        <v>0</v>
      </c>
      <c r="D103" s="18">
        <v>0</v>
      </c>
      <c r="E103" s="18">
        <v>0</v>
      </c>
    </row>
    <row r="104" spans="1:5" x14ac:dyDescent="0.25">
      <c r="A104" s="18">
        <v>1993</v>
      </c>
      <c r="B104" s="18" t="s">
        <v>8</v>
      </c>
      <c r="C104" s="18">
        <v>0</v>
      </c>
      <c r="D104" s="18">
        <v>0</v>
      </c>
      <c r="E104" s="18">
        <v>0</v>
      </c>
    </row>
    <row r="105" spans="1:5" x14ac:dyDescent="0.25">
      <c r="A105" s="18">
        <v>1994</v>
      </c>
      <c r="B105" s="18" t="s">
        <v>8</v>
      </c>
      <c r="C105" s="18">
        <v>0</v>
      </c>
      <c r="D105" s="18">
        <v>0</v>
      </c>
      <c r="E105" s="18">
        <v>0</v>
      </c>
    </row>
    <row r="106" spans="1:5" x14ac:dyDescent="0.25">
      <c r="A106" s="18">
        <v>1995</v>
      </c>
      <c r="B106" s="18" t="s">
        <v>8</v>
      </c>
      <c r="C106" s="18">
        <v>0</v>
      </c>
      <c r="D106" s="18">
        <v>0</v>
      </c>
      <c r="E106" s="18">
        <v>0</v>
      </c>
    </row>
    <row r="107" spans="1:5" x14ac:dyDescent="0.25">
      <c r="A107" s="18">
        <v>1996</v>
      </c>
      <c r="B107" s="18" t="s">
        <v>8</v>
      </c>
      <c r="C107" s="18">
        <v>0</v>
      </c>
      <c r="D107" s="18">
        <v>0</v>
      </c>
      <c r="E107" s="18">
        <v>0</v>
      </c>
    </row>
    <row r="108" spans="1:5" x14ac:dyDescent="0.25">
      <c r="A108" s="18">
        <v>1997</v>
      </c>
      <c r="B108" s="18" t="s">
        <v>8</v>
      </c>
      <c r="C108" s="18">
        <v>0</v>
      </c>
      <c r="D108" s="18">
        <v>0</v>
      </c>
      <c r="E108" s="18">
        <v>0</v>
      </c>
    </row>
    <row r="109" spans="1:5" x14ac:dyDescent="0.25">
      <c r="A109" s="18">
        <v>1998</v>
      </c>
      <c r="B109" s="18" t="s">
        <v>8</v>
      </c>
      <c r="C109" s="18">
        <v>0</v>
      </c>
      <c r="D109" s="18">
        <v>0</v>
      </c>
      <c r="E109" s="18">
        <v>0</v>
      </c>
    </row>
    <row r="110" spans="1:5" x14ac:dyDescent="0.25">
      <c r="A110" s="18">
        <v>1999</v>
      </c>
      <c r="B110" s="18" t="s">
        <v>8</v>
      </c>
      <c r="C110" s="18">
        <v>0</v>
      </c>
      <c r="D110" s="18">
        <v>0</v>
      </c>
      <c r="E110" s="18">
        <v>0</v>
      </c>
    </row>
    <row r="111" spans="1:5" x14ac:dyDescent="0.25">
      <c r="A111" s="18">
        <v>2000</v>
      </c>
      <c r="B111" s="18" t="s">
        <v>8</v>
      </c>
      <c r="C111" s="18">
        <v>6399</v>
      </c>
      <c r="D111" s="18">
        <v>4442</v>
      </c>
      <c r="E111" s="18">
        <v>3128</v>
      </c>
    </row>
    <row r="112" spans="1:5" x14ac:dyDescent="0.25">
      <c r="A112" s="18">
        <v>2001</v>
      </c>
      <c r="B112" s="18" t="s">
        <v>8</v>
      </c>
      <c r="C112" s="18">
        <v>0</v>
      </c>
      <c r="D112" s="18">
        <v>0</v>
      </c>
      <c r="E112" s="18">
        <v>0</v>
      </c>
    </row>
    <row r="113" spans="1:5" x14ac:dyDescent="0.25">
      <c r="A113" s="18">
        <v>2002</v>
      </c>
      <c r="B113" s="18" t="s">
        <v>8</v>
      </c>
      <c r="C113" s="18">
        <v>0</v>
      </c>
      <c r="D113" s="18">
        <v>0</v>
      </c>
      <c r="E113" s="18">
        <v>0</v>
      </c>
    </row>
    <row r="114" spans="1:5" x14ac:dyDescent="0.25">
      <c r="A114" s="18">
        <v>2003</v>
      </c>
      <c r="B114" s="18" t="s">
        <v>8</v>
      </c>
      <c r="C114" s="18">
        <v>0</v>
      </c>
      <c r="D114" s="18">
        <v>0</v>
      </c>
      <c r="E114" s="18">
        <v>0</v>
      </c>
    </row>
    <row r="115" spans="1:5" x14ac:dyDescent="0.25">
      <c r="A115" s="18">
        <v>2004</v>
      </c>
      <c r="B115" s="18" t="s">
        <v>8</v>
      </c>
      <c r="C115" s="18">
        <v>0</v>
      </c>
      <c r="D115" s="18">
        <v>0</v>
      </c>
      <c r="E115" s="18">
        <v>0</v>
      </c>
    </row>
    <row r="116" spans="1:5" x14ac:dyDescent="0.25">
      <c r="A116" s="18">
        <v>2005</v>
      </c>
      <c r="B116" s="18" t="s">
        <v>8</v>
      </c>
      <c r="C116" s="18">
        <v>0</v>
      </c>
      <c r="D116" s="18">
        <v>0</v>
      </c>
      <c r="E116" s="18">
        <v>0</v>
      </c>
    </row>
    <row r="117" spans="1:5" x14ac:dyDescent="0.25">
      <c r="A117" s="18">
        <v>2006</v>
      </c>
      <c r="B117" s="18" t="s">
        <v>8</v>
      </c>
      <c r="C117" s="18">
        <v>0</v>
      </c>
      <c r="D117" s="18">
        <v>0</v>
      </c>
      <c r="E117" s="18">
        <v>0</v>
      </c>
    </row>
    <row r="118" spans="1:5" x14ac:dyDescent="0.25">
      <c r="A118" s="18">
        <v>2007</v>
      </c>
      <c r="B118" s="18" t="s">
        <v>8</v>
      </c>
      <c r="C118" s="18">
        <v>0</v>
      </c>
      <c r="D118" s="18">
        <v>0</v>
      </c>
      <c r="E118" s="18">
        <v>0</v>
      </c>
    </row>
    <row r="119" spans="1:5" x14ac:dyDescent="0.25">
      <c r="A119" s="18">
        <v>2008</v>
      </c>
      <c r="B119" s="18" t="s">
        <v>8</v>
      </c>
      <c r="C119" s="18">
        <v>0</v>
      </c>
      <c r="D119" s="18">
        <v>0</v>
      </c>
      <c r="E119" s="18">
        <v>0</v>
      </c>
    </row>
    <row r="120" spans="1:5" x14ac:dyDescent="0.25">
      <c r="A120" s="18">
        <v>1950</v>
      </c>
      <c r="B120" s="18" t="s">
        <v>9</v>
      </c>
      <c r="C120" s="18">
        <v>0</v>
      </c>
      <c r="D120" s="18">
        <v>0</v>
      </c>
      <c r="E120" s="18">
        <v>0</v>
      </c>
    </row>
    <row r="121" spans="1:5" x14ac:dyDescent="0.25">
      <c r="A121" s="18">
        <v>1951</v>
      </c>
      <c r="B121" s="18" t="s">
        <v>9</v>
      </c>
      <c r="C121" s="18">
        <v>0</v>
      </c>
      <c r="D121" s="18">
        <v>0</v>
      </c>
      <c r="E121" s="18">
        <v>0</v>
      </c>
    </row>
    <row r="122" spans="1:5" x14ac:dyDescent="0.25">
      <c r="A122" s="18">
        <v>1952</v>
      </c>
      <c r="B122" s="18" t="s">
        <v>9</v>
      </c>
      <c r="C122" s="18">
        <v>0</v>
      </c>
      <c r="D122" s="18">
        <v>0</v>
      </c>
      <c r="E122" s="18">
        <v>0</v>
      </c>
    </row>
    <row r="123" spans="1:5" x14ac:dyDescent="0.25">
      <c r="A123" s="18">
        <v>1953</v>
      </c>
      <c r="B123" s="18" t="s">
        <v>9</v>
      </c>
      <c r="C123" s="18">
        <v>0</v>
      </c>
      <c r="D123" s="18">
        <v>0</v>
      </c>
      <c r="E123" s="18">
        <v>0</v>
      </c>
    </row>
    <row r="124" spans="1:5" x14ac:dyDescent="0.25">
      <c r="A124" s="18">
        <v>1954</v>
      </c>
      <c r="B124" s="18" t="s">
        <v>9</v>
      </c>
      <c r="C124" s="18">
        <v>0</v>
      </c>
      <c r="D124" s="18">
        <v>0</v>
      </c>
      <c r="E124" s="18">
        <v>0</v>
      </c>
    </row>
    <row r="125" spans="1:5" x14ac:dyDescent="0.25">
      <c r="A125" s="18">
        <v>1955</v>
      </c>
      <c r="B125" s="18" t="s">
        <v>9</v>
      </c>
      <c r="C125" s="18">
        <v>0</v>
      </c>
      <c r="D125" s="18">
        <v>0</v>
      </c>
      <c r="E125" s="18">
        <v>0</v>
      </c>
    </row>
    <row r="126" spans="1:5" x14ac:dyDescent="0.25">
      <c r="A126" s="18">
        <v>1956</v>
      </c>
      <c r="B126" s="18" t="s">
        <v>9</v>
      </c>
      <c r="C126" s="18">
        <v>0</v>
      </c>
      <c r="D126" s="18">
        <v>0</v>
      </c>
      <c r="E126" s="18">
        <v>0</v>
      </c>
    </row>
    <row r="127" spans="1:5" x14ac:dyDescent="0.25">
      <c r="A127" s="18">
        <v>1957</v>
      </c>
      <c r="B127" s="18" t="s">
        <v>9</v>
      </c>
      <c r="C127" s="18">
        <v>0</v>
      </c>
      <c r="D127" s="18">
        <v>0</v>
      </c>
      <c r="E127" s="18">
        <v>0</v>
      </c>
    </row>
    <row r="128" spans="1:5" x14ac:dyDescent="0.25">
      <c r="A128" s="18">
        <v>1958</v>
      </c>
      <c r="B128" s="18" t="s">
        <v>9</v>
      </c>
      <c r="C128" s="18">
        <v>0</v>
      </c>
      <c r="D128" s="18">
        <v>0</v>
      </c>
      <c r="E128" s="18">
        <v>0</v>
      </c>
    </row>
    <row r="129" spans="1:5" x14ac:dyDescent="0.25">
      <c r="A129" s="18">
        <v>1959</v>
      </c>
      <c r="B129" s="18" t="s">
        <v>9</v>
      </c>
      <c r="C129" s="18">
        <v>0</v>
      </c>
      <c r="D129" s="18">
        <v>0</v>
      </c>
      <c r="E129" s="18">
        <v>0</v>
      </c>
    </row>
    <row r="130" spans="1:5" x14ac:dyDescent="0.25">
      <c r="A130" s="18">
        <v>1960</v>
      </c>
      <c r="B130" s="18" t="s">
        <v>9</v>
      </c>
      <c r="C130" s="18">
        <v>0</v>
      </c>
      <c r="D130" s="18">
        <v>0</v>
      </c>
      <c r="E130" s="18">
        <v>0</v>
      </c>
    </row>
    <row r="131" spans="1:5" x14ac:dyDescent="0.25">
      <c r="A131" s="18">
        <v>1961</v>
      </c>
      <c r="B131" s="18" t="s">
        <v>9</v>
      </c>
      <c r="C131" s="18">
        <v>0</v>
      </c>
      <c r="D131" s="18">
        <v>0</v>
      </c>
      <c r="E131" s="18">
        <v>0</v>
      </c>
    </row>
    <row r="132" spans="1:5" x14ac:dyDescent="0.25">
      <c r="A132" s="18">
        <v>1962</v>
      </c>
      <c r="B132" s="18" t="s">
        <v>9</v>
      </c>
      <c r="C132" s="18">
        <v>0</v>
      </c>
      <c r="D132" s="18">
        <v>0</v>
      </c>
      <c r="E132" s="18">
        <v>0</v>
      </c>
    </row>
    <row r="133" spans="1:5" x14ac:dyDescent="0.25">
      <c r="A133" s="18">
        <v>1963</v>
      </c>
      <c r="B133" s="18" t="s">
        <v>9</v>
      </c>
      <c r="C133" s="18">
        <v>0</v>
      </c>
      <c r="D133" s="18">
        <v>0</v>
      </c>
      <c r="E133" s="18">
        <v>0</v>
      </c>
    </row>
    <row r="134" spans="1:5" x14ac:dyDescent="0.25">
      <c r="A134" s="18">
        <v>1964</v>
      </c>
      <c r="B134" s="18" t="s">
        <v>9</v>
      </c>
      <c r="C134" s="18">
        <v>0</v>
      </c>
      <c r="D134" s="18">
        <v>0</v>
      </c>
      <c r="E134" s="18">
        <v>0</v>
      </c>
    </row>
    <row r="135" spans="1:5" x14ac:dyDescent="0.25">
      <c r="A135" s="18">
        <v>1965</v>
      </c>
      <c r="B135" s="18" t="s">
        <v>9</v>
      </c>
      <c r="C135" s="18">
        <v>0</v>
      </c>
      <c r="D135" s="18">
        <v>0</v>
      </c>
      <c r="E135" s="18">
        <v>0</v>
      </c>
    </row>
    <row r="136" spans="1:5" x14ac:dyDescent="0.25">
      <c r="A136" s="18">
        <v>1966</v>
      </c>
      <c r="B136" s="18" t="s">
        <v>9</v>
      </c>
      <c r="C136" s="18">
        <v>0</v>
      </c>
      <c r="D136" s="18">
        <v>0</v>
      </c>
      <c r="E136" s="18">
        <v>0</v>
      </c>
    </row>
    <row r="137" spans="1:5" x14ac:dyDescent="0.25">
      <c r="A137" s="18">
        <v>1967</v>
      </c>
      <c r="B137" s="18" t="s">
        <v>9</v>
      </c>
      <c r="C137" s="18">
        <v>0</v>
      </c>
      <c r="D137" s="18">
        <v>0</v>
      </c>
      <c r="E137" s="18">
        <v>0</v>
      </c>
    </row>
    <row r="138" spans="1:5" x14ac:dyDescent="0.25">
      <c r="A138" s="18">
        <v>1968</v>
      </c>
      <c r="B138" s="18" t="s">
        <v>9</v>
      </c>
      <c r="C138" s="18">
        <v>0</v>
      </c>
      <c r="D138" s="18">
        <v>0</v>
      </c>
      <c r="E138" s="18">
        <v>0</v>
      </c>
    </row>
    <row r="139" spans="1:5" x14ac:dyDescent="0.25">
      <c r="A139" s="18">
        <v>1969</v>
      </c>
      <c r="B139" s="18" t="s">
        <v>9</v>
      </c>
      <c r="C139" s="18">
        <v>0</v>
      </c>
      <c r="D139" s="18">
        <v>0</v>
      </c>
      <c r="E139" s="18">
        <v>0</v>
      </c>
    </row>
    <row r="140" spans="1:5" x14ac:dyDescent="0.25">
      <c r="A140" s="18">
        <v>1970</v>
      </c>
      <c r="B140" s="18" t="s">
        <v>9</v>
      </c>
      <c r="C140" s="18">
        <v>0</v>
      </c>
      <c r="D140" s="18">
        <v>0</v>
      </c>
      <c r="E140" s="18">
        <v>0</v>
      </c>
    </row>
    <row r="141" spans="1:5" x14ac:dyDescent="0.25">
      <c r="A141" s="18">
        <v>1971</v>
      </c>
      <c r="B141" s="18" t="s">
        <v>9</v>
      </c>
      <c r="C141" s="18">
        <v>0</v>
      </c>
      <c r="D141" s="18">
        <v>0</v>
      </c>
      <c r="E141" s="18">
        <v>0</v>
      </c>
    </row>
    <row r="142" spans="1:5" x14ac:dyDescent="0.25">
      <c r="A142" s="18">
        <v>1972</v>
      </c>
      <c r="B142" s="18" t="s">
        <v>9</v>
      </c>
      <c r="C142" s="18">
        <v>0</v>
      </c>
      <c r="D142" s="18">
        <v>0</v>
      </c>
      <c r="E142" s="18">
        <v>0</v>
      </c>
    </row>
    <row r="143" spans="1:5" x14ac:dyDescent="0.25">
      <c r="A143" s="18">
        <v>1973</v>
      </c>
      <c r="B143" s="18" t="s">
        <v>9</v>
      </c>
      <c r="C143" s="18">
        <v>0</v>
      </c>
      <c r="D143" s="18">
        <v>0</v>
      </c>
      <c r="E143" s="18">
        <v>0</v>
      </c>
    </row>
    <row r="144" spans="1:5" x14ac:dyDescent="0.25">
      <c r="A144" s="18">
        <v>1974</v>
      </c>
      <c r="B144" s="18" t="s">
        <v>9</v>
      </c>
      <c r="C144" s="18">
        <v>0</v>
      </c>
      <c r="D144" s="18">
        <v>0</v>
      </c>
      <c r="E144" s="18">
        <v>0</v>
      </c>
    </row>
    <row r="145" spans="1:5" x14ac:dyDescent="0.25">
      <c r="A145" s="18">
        <v>1975</v>
      </c>
      <c r="B145" s="18" t="s">
        <v>9</v>
      </c>
      <c r="C145" s="18">
        <v>4397</v>
      </c>
      <c r="D145" s="18">
        <v>2054</v>
      </c>
      <c r="E145" s="18">
        <v>2339</v>
      </c>
    </row>
    <row r="146" spans="1:5" x14ac:dyDescent="0.25">
      <c r="A146" s="18">
        <v>1976</v>
      </c>
      <c r="B146" s="18" t="s">
        <v>9</v>
      </c>
      <c r="C146" s="18">
        <v>0</v>
      </c>
      <c r="D146" s="18">
        <v>0</v>
      </c>
      <c r="E146" s="18">
        <v>0</v>
      </c>
    </row>
    <row r="147" spans="1:5" x14ac:dyDescent="0.25">
      <c r="A147" s="18">
        <v>1977</v>
      </c>
      <c r="B147" s="18" t="s">
        <v>9</v>
      </c>
      <c r="C147" s="18">
        <v>0</v>
      </c>
      <c r="D147" s="18">
        <v>0</v>
      </c>
      <c r="E147" s="18">
        <v>0</v>
      </c>
    </row>
    <row r="148" spans="1:5" x14ac:dyDescent="0.25">
      <c r="A148" s="18">
        <v>1978</v>
      </c>
      <c r="B148" s="18" t="s">
        <v>9</v>
      </c>
      <c r="C148" s="18">
        <v>0</v>
      </c>
      <c r="D148" s="18">
        <v>0</v>
      </c>
      <c r="E148" s="18">
        <v>0</v>
      </c>
    </row>
    <row r="149" spans="1:5" x14ac:dyDescent="0.25">
      <c r="A149" s="18">
        <v>1979</v>
      </c>
      <c r="B149" s="18" t="s">
        <v>9</v>
      </c>
      <c r="C149" s="18">
        <v>0</v>
      </c>
      <c r="D149" s="18">
        <v>0</v>
      </c>
      <c r="E149" s="18">
        <v>0</v>
      </c>
    </row>
    <row r="150" spans="1:5" x14ac:dyDescent="0.25">
      <c r="A150" s="18">
        <v>1980</v>
      </c>
      <c r="B150" s="18" t="s">
        <v>9</v>
      </c>
      <c r="C150" s="18">
        <v>2612</v>
      </c>
      <c r="D150" s="18">
        <v>1356</v>
      </c>
      <c r="E150" s="18">
        <v>1255</v>
      </c>
    </row>
    <row r="151" spans="1:5" x14ac:dyDescent="0.25">
      <c r="A151" s="18">
        <v>1981</v>
      </c>
      <c r="B151" s="18" t="s">
        <v>9</v>
      </c>
      <c r="C151" s="18">
        <v>0</v>
      </c>
      <c r="D151" s="18">
        <v>0</v>
      </c>
      <c r="E151" s="18">
        <v>0</v>
      </c>
    </row>
    <row r="152" spans="1:5" x14ac:dyDescent="0.25">
      <c r="A152" s="18">
        <v>1982</v>
      </c>
      <c r="B152" s="18" t="s">
        <v>9</v>
      </c>
      <c r="C152" s="18">
        <v>0</v>
      </c>
      <c r="D152" s="18">
        <v>0</v>
      </c>
      <c r="E152" s="18">
        <v>0</v>
      </c>
    </row>
    <row r="153" spans="1:5" x14ac:dyDescent="0.25">
      <c r="A153" s="18">
        <v>1983</v>
      </c>
      <c r="B153" s="18" t="s">
        <v>9</v>
      </c>
      <c r="C153" s="18">
        <v>0</v>
      </c>
      <c r="D153" s="18">
        <v>0</v>
      </c>
      <c r="E153" s="18">
        <v>0</v>
      </c>
    </row>
    <row r="154" spans="1:5" x14ac:dyDescent="0.25">
      <c r="A154" s="18">
        <v>1984</v>
      </c>
      <c r="B154" s="18" t="s">
        <v>9</v>
      </c>
      <c r="C154" s="18">
        <v>0</v>
      </c>
      <c r="D154" s="18">
        <v>0</v>
      </c>
      <c r="E154" s="18">
        <v>0</v>
      </c>
    </row>
    <row r="155" spans="1:5" x14ac:dyDescent="0.25">
      <c r="A155" s="18">
        <v>1985</v>
      </c>
      <c r="B155" s="18" t="s">
        <v>9</v>
      </c>
      <c r="C155" s="18">
        <v>0</v>
      </c>
      <c r="D155" s="18">
        <v>0</v>
      </c>
      <c r="E155" s="18">
        <v>0</v>
      </c>
    </row>
    <row r="156" spans="1:5" x14ac:dyDescent="0.25">
      <c r="A156" s="18">
        <v>1986</v>
      </c>
      <c r="B156" s="18" t="s">
        <v>9</v>
      </c>
      <c r="C156" s="18">
        <v>0</v>
      </c>
      <c r="D156" s="18">
        <v>0</v>
      </c>
      <c r="E156" s="18">
        <v>0</v>
      </c>
    </row>
    <row r="157" spans="1:5" x14ac:dyDescent="0.25">
      <c r="A157" s="18">
        <v>1987</v>
      </c>
      <c r="B157" s="18" t="s">
        <v>9</v>
      </c>
      <c r="C157" s="18">
        <v>0</v>
      </c>
      <c r="D157" s="18">
        <v>0</v>
      </c>
      <c r="E157" s="18">
        <v>0</v>
      </c>
    </row>
    <row r="158" spans="1:5" x14ac:dyDescent="0.25">
      <c r="A158" s="18">
        <v>1988</v>
      </c>
      <c r="B158" s="18" t="s">
        <v>9</v>
      </c>
      <c r="C158" s="18">
        <v>0</v>
      </c>
      <c r="D158" s="18">
        <v>0</v>
      </c>
      <c r="E158" s="18">
        <v>0</v>
      </c>
    </row>
    <row r="159" spans="1:5" x14ac:dyDescent="0.25">
      <c r="A159" s="18">
        <v>1989</v>
      </c>
      <c r="B159" s="18" t="s">
        <v>9</v>
      </c>
      <c r="C159" s="18">
        <v>0</v>
      </c>
      <c r="D159" s="18">
        <v>0</v>
      </c>
      <c r="E159" s="18">
        <v>0</v>
      </c>
    </row>
    <row r="160" spans="1:5" x14ac:dyDescent="0.25">
      <c r="A160" s="18">
        <v>1990</v>
      </c>
      <c r="B160" s="18" t="s">
        <v>9</v>
      </c>
      <c r="C160" s="18">
        <v>4275</v>
      </c>
      <c r="D160" s="18">
        <v>2212</v>
      </c>
      <c r="E160" s="18">
        <v>2063</v>
      </c>
    </row>
    <row r="161" spans="1:5" x14ac:dyDescent="0.25">
      <c r="A161" s="18">
        <v>1991</v>
      </c>
      <c r="B161" s="18" t="s">
        <v>9</v>
      </c>
      <c r="C161" s="18">
        <v>0</v>
      </c>
      <c r="D161" s="18">
        <v>0</v>
      </c>
      <c r="E161" s="18">
        <v>0</v>
      </c>
    </row>
    <row r="162" spans="1:5" x14ac:dyDescent="0.25">
      <c r="A162" s="18">
        <v>1992</v>
      </c>
      <c r="B162" s="18" t="s">
        <v>9</v>
      </c>
      <c r="C162" s="18">
        <v>0</v>
      </c>
      <c r="D162" s="18">
        <v>0</v>
      </c>
      <c r="E162" s="18">
        <v>0</v>
      </c>
    </row>
    <row r="163" spans="1:5" x14ac:dyDescent="0.25">
      <c r="A163" s="18">
        <v>1993</v>
      </c>
      <c r="B163" s="18" t="s">
        <v>9</v>
      </c>
      <c r="C163" s="18">
        <v>0</v>
      </c>
      <c r="D163" s="18">
        <v>0</v>
      </c>
      <c r="E163" s="18">
        <v>0</v>
      </c>
    </row>
    <row r="164" spans="1:5" x14ac:dyDescent="0.25">
      <c r="A164" s="18">
        <v>1994</v>
      </c>
      <c r="B164" s="18" t="s">
        <v>9</v>
      </c>
      <c r="C164" s="18">
        <v>0</v>
      </c>
      <c r="D164" s="18">
        <v>0</v>
      </c>
      <c r="E164" s="18">
        <v>0</v>
      </c>
    </row>
    <row r="165" spans="1:5" x14ac:dyDescent="0.25">
      <c r="A165" s="18">
        <v>1995</v>
      </c>
      <c r="B165" s="18" t="s">
        <v>9</v>
      </c>
      <c r="C165" s="18">
        <v>0</v>
      </c>
      <c r="D165" s="18">
        <v>0</v>
      </c>
      <c r="E165" s="18">
        <v>0</v>
      </c>
    </row>
    <row r="166" spans="1:5" x14ac:dyDescent="0.25">
      <c r="A166" s="18">
        <v>1996</v>
      </c>
      <c r="B166" s="18" t="s">
        <v>9</v>
      </c>
      <c r="C166" s="18">
        <v>0</v>
      </c>
      <c r="D166" s="18">
        <v>0</v>
      </c>
      <c r="E166" s="18">
        <v>0</v>
      </c>
    </row>
    <row r="167" spans="1:5" x14ac:dyDescent="0.25">
      <c r="A167" s="18">
        <v>1997</v>
      </c>
      <c r="B167" s="18" t="s">
        <v>9</v>
      </c>
      <c r="C167" s="18">
        <v>0</v>
      </c>
      <c r="D167" s="18">
        <v>0</v>
      </c>
      <c r="E167" s="18">
        <v>0</v>
      </c>
    </row>
    <row r="168" spans="1:5" x14ac:dyDescent="0.25">
      <c r="A168" s="18">
        <v>1998</v>
      </c>
      <c r="B168" s="18" t="s">
        <v>9</v>
      </c>
      <c r="C168" s="18">
        <v>0</v>
      </c>
      <c r="D168" s="18">
        <v>0</v>
      </c>
      <c r="E168" s="18">
        <v>0</v>
      </c>
    </row>
    <row r="169" spans="1:5" x14ac:dyDescent="0.25">
      <c r="A169" s="18">
        <v>1999</v>
      </c>
      <c r="B169" s="18" t="s">
        <v>9</v>
      </c>
      <c r="C169" s="18">
        <v>0</v>
      </c>
      <c r="D169" s="18">
        <v>0</v>
      </c>
      <c r="E169" s="18">
        <v>0</v>
      </c>
    </row>
    <row r="170" spans="1:5" x14ac:dyDescent="0.25">
      <c r="A170" s="18">
        <v>2000</v>
      </c>
      <c r="B170" s="18" t="s">
        <v>9</v>
      </c>
      <c r="C170" s="18">
        <v>6529</v>
      </c>
      <c r="D170" s="18">
        <v>3481</v>
      </c>
      <c r="E170" s="18">
        <v>3048</v>
      </c>
    </row>
    <row r="171" spans="1:5" x14ac:dyDescent="0.25">
      <c r="A171" s="18">
        <v>2001</v>
      </c>
      <c r="B171" s="18" t="s">
        <v>9</v>
      </c>
      <c r="C171" s="18">
        <v>0</v>
      </c>
      <c r="D171" s="18">
        <v>0</v>
      </c>
      <c r="E171" s="18">
        <v>0</v>
      </c>
    </row>
    <row r="172" spans="1:5" x14ac:dyDescent="0.25">
      <c r="A172" s="18">
        <v>2002</v>
      </c>
      <c r="B172" s="18" t="s">
        <v>9</v>
      </c>
      <c r="C172" s="18">
        <v>0</v>
      </c>
      <c r="D172" s="18">
        <v>0</v>
      </c>
      <c r="E172" s="18">
        <v>0</v>
      </c>
    </row>
    <row r="173" spans="1:5" x14ac:dyDescent="0.25">
      <c r="A173" s="18">
        <v>2003</v>
      </c>
      <c r="B173" s="18" t="s">
        <v>9</v>
      </c>
      <c r="C173" s="18">
        <v>0</v>
      </c>
      <c r="D173" s="18">
        <v>0</v>
      </c>
      <c r="E173" s="18">
        <v>0</v>
      </c>
    </row>
    <row r="174" spans="1:5" x14ac:dyDescent="0.25">
      <c r="A174" s="18">
        <v>2004</v>
      </c>
      <c r="B174" s="18" t="s">
        <v>9</v>
      </c>
      <c r="C174" s="18">
        <v>0</v>
      </c>
      <c r="D174" s="18">
        <v>0</v>
      </c>
      <c r="E174" s="18">
        <v>0</v>
      </c>
    </row>
    <row r="175" spans="1:5" x14ac:dyDescent="0.25">
      <c r="A175" s="18">
        <v>2005</v>
      </c>
      <c r="B175" s="18" t="s">
        <v>9</v>
      </c>
      <c r="C175" s="18">
        <v>0</v>
      </c>
      <c r="D175" s="18">
        <v>0</v>
      </c>
      <c r="E175" s="18">
        <v>0</v>
      </c>
    </row>
    <row r="176" spans="1:5" x14ac:dyDescent="0.25">
      <c r="A176" s="18">
        <v>2006</v>
      </c>
      <c r="B176" s="18" t="s">
        <v>9</v>
      </c>
      <c r="C176" s="18">
        <v>0</v>
      </c>
      <c r="D176" s="18">
        <v>0</v>
      </c>
      <c r="E176" s="18">
        <v>0</v>
      </c>
    </row>
    <row r="177" spans="1:5" x14ac:dyDescent="0.25">
      <c r="A177" s="18">
        <v>2007</v>
      </c>
      <c r="B177" s="18" t="s">
        <v>9</v>
      </c>
      <c r="C177" s="18">
        <v>0</v>
      </c>
      <c r="D177" s="18">
        <v>0</v>
      </c>
      <c r="E177" s="18">
        <v>0</v>
      </c>
    </row>
    <row r="178" spans="1:5" x14ac:dyDescent="0.25">
      <c r="A178" s="18">
        <v>2008</v>
      </c>
      <c r="B178" s="18" t="s">
        <v>9</v>
      </c>
      <c r="C178" s="18">
        <v>0</v>
      </c>
      <c r="D178" s="18">
        <v>0</v>
      </c>
      <c r="E178" s="18">
        <v>0</v>
      </c>
    </row>
    <row r="179" spans="1:5" x14ac:dyDescent="0.25">
      <c r="A179" s="18">
        <v>1950</v>
      </c>
      <c r="B179" s="18" t="s">
        <v>10</v>
      </c>
      <c r="C179" s="18">
        <v>0</v>
      </c>
      <c r="D179" s="18">
        <v>0</v>
      </c>
      <c r="E179" s="18">
        <v>0</v>
      </c>
    </row>
    <row r="180" spans="1:5" x14ac:dyDescent="0.25">
      <c r="A180" s="18">
        <v>1951</v>
      </c>
      <c r="B180" s="18" t="s">
        <v>10</v>
      </c>
      <c r="C180" s="18">
        <v>0</v>
      </c>
      <c r="D180" s="18">
        <v>0</v>
      </c>
      <c r="E180" s="18">
        <v>0</v>
      </c>
    </row>
    <row r="181" spans="1:5" x14ac:dyDescent="0.25">
      <c r="A181" s="18">
        <v>1952</v>
      </c>
      <c r="B181" s="18" t="s">
        <v>10</v>
      </c>
      <c r="C181" s="18">
        <v>0</v>
      </c>
      <c r="D181" s="18">
        <v>0</v>
      </c>
      <c r="E181" s="18">
        <v>0</v>
      </c>
    </row>
    <row r="182" spans="1:5" x14ac:dyDescent="0.25">
      <c r="A182" s="18">
        <v>1953</v>
      </c>
      <c r="B182" s="18" t="s">
        <v>10</v>
      </c>
      <c r="C182" s="18">
        <v>0</v>
      </c>
      <c r="D182" s="18">
        <v>0</v>
      </c>
      <c r="E182" s="18">
        <v>0</v>
      </c>
    </row>
    <row r="183" spans="1:5" x14ac:dyDescent="0.25">
      <c r="A183" s="18">
        <v>1954</v>
      </c>
      <c r="B183" s="18" t="s">
        <v>10</v>
      </c>
      <c r="C183" s="18">
        <v>0</v>
      </c>
      <c r="D183" s="18">
        <v>0</v>
      </c>
      <c r="E183" s="18">
        <v>0</v>
      </c>
    </row>
    <row r="184" spans="1:5" x14ac:dyDescent="0.25">
      <c r="A184" s="18">
        <v>1955</v>
      </c>
      <c r="B184" s="18" t="s">
        <v>10</v>
      </c>
      <c r="C184" s="18">
        <v>0</v>
      </c>
      <c r="D184" s="18">
        <v>0</v>
      </c>
      <c r="E184" s="18">
        <v>0</v>
      </c>
    </row>
    <row r="185" spans="1:5" x14ac:dyDescent="0.25">
      <c r="A185" s="18">
        <v>1956</v>
      </c>
      <c r="B185" s="18" t="s">
        <v>10</v>
      </c>
      <c r="C185" s="18">
        <v>0</v>
      </c>
      <c r="D185" s="18">
        <v>0</v>
      </c>
      <c r="E185" s="18">
        <v>0</v>
      </c>
    </row>
    <row r="186" spans="1:5" x14ac:dyDescent="0.25">
      <c r="A186" s="18">
        <v>1957</v>
      </c>
      <c r="B186" s="18" t="s">
        <v>10</v>
      </c>
      <c r="C186" s="18">
        <v>0</v>
      </c>
      <c r="D186" s="18">
        <v>0</v>
      </c>
      <c r="E186" s="18">
        <v>0</v>
      </c>
    </row>
    <row r="187" spans="1:5" x14ac:dyDescent="0.25">
      <c r="A187" s="18">
        <v>1958</v>
      </c>
      <c r="B187" s="18" t="s">
        <v>10</v>
      </c>
      <c r="C187" s="18">
        <v>0</v>
      </c>
      <c r="D187" s="18">
        <v>0</v>
      </c>
      <c r="E187" s="18">
        <v>0</v>
      </c>
    </row>
    <row r="188" spans="1:5" x14ac:dyDescent="0.25">
      <c r="A188" s="18">
        <v>1959</v>
      </c>
      <c r="B188" s="18" t="s">
        <v>10</v>
      </c>
      <c r="C188" s="18">
        <v>0</v>
      </c>
      <c r="D188" s="18">
        <v>0</v>
      </c>
      <c r="E188" s="18">
        <v>0</v>
      </c>
    </row>
    <row r="189" spans="1:5" x14ac:dyDescent="0.25">
      <c r="A189" s="18">
        <v>1960</v>
      </c>
      <c r="B189" s="18" t="s">
        <v>10</v>
      </c>
      <c r="C189" s="18">
        <v>0</v>
      </c>
      <c r="D189" s="18">
        <v>0</v>
      </c>
      <c r="E189" s="18">
        <v>0</v>
      </c>
    </row>
    <row r="190" spans="1:5" x14ac:dyDescent="0.25">
      <c r="A190" s="18">
        <v>1961</v>
      </c>
      <c r="B190" s="18" t="s">
        <v>10</v>
      </c>
      <c r="C190" s="18">
        <v>0</v>
      </c>
      <c r="D190" s="18">
        <v>0</v>
      </c>
      <c r="E190" s="18">
        <v>0</v>
      </c>
    </row>
    <row r="191" spans="1:5" x14ac:dyDescent="0.25">
      <c r="A191" s="18">
        <v>1962</v>
      </c>
      <c r="B191" s="18" t="s">
        <v>10</v>
      </c>
      <c r="C191" s="18">
        <v>0</v>
      </c>
      <c r="D191" s="18">
        <v>0</v>
      </c>
      <c r="E191" s="18">
        <v>0</v>
      </c>
    </row>
    <row r="192" spans="1:5" x14ac:dyDescent="0.25">
      <c r="A192" s="18">
        <v>1963</v>
      </c>
      <c r="B192" s="18" t="s">
        <v>10</v>
      </c>
      <c r="C192" s="18">
        <v>0</v>
      </c>
      <c r="D192" s="18">
        <v>0</v>
      </c>
      <c r="E192" s="18">
        <v>0</v>
      </c>
    </row>
    <row r="193" spans="1:5" x14ac:dyDescent="0.25">
      <c r="A193" s="18">
        <v>1964</v>
      </c>
      <c r="B193" s="18" t="s">
        <v>10</v>
      </c>
      <c r="C193" s="18">
        <v>0</v>
      </c>
      <c r="D193" s="18">
        <v>0</v>
      </c>
      <c r="E193" s="18">
        <v>0</v>
      </c>
    </row>
    <row r="194" spans="1:5" x14ac:dyDescent="0.25">
      <c r="A194" s="18">
        <v>1965</v>
      </c>
      <c r="B194" s="18" t="s">
        <v>10</v>
      </c>
      <c r="C194" s="18">
        <v>0</v>
      </c>
      <c r="D194" s="18">
        <v>0</v>
      </c>
      <c r="E194" s="18">
        <v>0</v>
      </c>
    </row>
    <row r="195" spans="1:5" x14ac:dyDescent="0.25">
      <c r="A195" s="18">
        <v>1966</v>
      </c>
      <c r="B195" s="18" t="s">
        <v>10</v>
      </c>
      <c r="C195" s="18">
        <v>0</v>
      </c>
      <c r="D195" s="18">
        <v>0</v>
      </c>
      <c r="E195" s="18">
        <v>0</v>
      </c>
    </row>
    <row r="196" spans="1:5" x14ac:dyDescent="0.25">
      <c r="A196" s="18">
        <v>1967</v>
      </c>
      <c r="B196" s="18" t="s">
        <v>10</v>
      </c>
      <c r="C196" s="18">
        <v>0</v>
      </c>
      <c r="D196" s="18">
        <v>0</v>
      </c>
      <c r="E196" s="18">
        <v>0</v>
      </c>
    </row>
    <row r="197" spans="1:5" x14ac:dyDescent="0.25">
      <c r="A197" s="18">
        <v>1968</v>
      </c>
      <c r="B197" s="18" t="s">
        <v>10</v>
      </c>
      <c r="C197" s="18">
        <v>0</v>
      </c>
      <c r="D197" s="18">
        <v>0</v>
      </c>
      <c r="E197" s="18">
        <v>0</v>
      </c>
    </row>
    <row r="198" spans="1:5" x14ac:dyDescent="0.25">
      <c r="A198" s="18">
        <v>1969</v>
      </c>
      <c r="B198" s="18" t="s">
        <v>10</v>
      </c>
      <c r="C198" s="18">
        <v>0</v>
      </c>
      <c r="D198" s="18">
        <v>0</v>
      </c>
      <c r="E198" s="18">
        <v>0</v>
      </c>
    </row>
    <row r="199" spans="1:5" x14ac:dyDescent="0.25">
      <c r="A199" s="18">
        <v>1970</v>
      </c>
      <c r="B199" s="18" t="s">
        <v>10</v>
      </c>
      <c r="C199" s="18">
        <v>0</v>
      </c>
      <c r="D199" s="18">
        <v>0</v>
      </c>
      <c r="E199" s="18">
        <v>0</v>
      </c>
    </row>
    <row r="200" spans="1:5" x14ac:dyDescent="0.25">
      <c r="A200" s="18">
        <v>1971</v>
      </c>
      <c r="B200" s="18" t="s">
        <v>10</v>
      </c>
      <c r="C200" s="18">
        <v>0</v>
      </c>
      <c r="D200" s="18">
        <v>0</v>
      </c>
      <c r="E200" s="18">
        <v>0</v>
      </c>
    </row>
    <row r="201" spans="1:5" x14ac:dyDescent="0.25">
      <c r="A201" s="18">
        <v>1972</v>
      </c>
      <c r="B201" s="18" t="s">
        <v>10</v>
      </c>
      <c r="C201" s="18">
        <v>0</v>
      </c>
      <c r="D201" s="18">
        <v>0</v>
      </c>
      <c r="E201" s="18">
        <v>0</v>
      </c>
    </row>
    <row r="202" spans="1:5" x14ac:dyDescent="0.25">
      <c r="A202" s="18">
        <v>1973</v>
      </c>
      <c r="B202" s="18" t="s">
        <v>10</v>
      </c>
      <c r="C202" s="18">
        <v>0</v>
      </c>
      <c r="D202" s="18">
        <v>0</v>
      </c>
      <c r="E202" s="18">
        <v>0</v>
      </c>
    </row>
    <row r="203" spans="1:5" x14ac:dyDescent="0.25">
      <c r="A203" s="18">
        <v>1974</v>
      </c>
      <c r="B203" s="18" t="s">
        <v>10</v>
      </c>
      <c r="C203" s="18">
        <v>0</v>
      </c>
      <c r="D203" s="18">
        <v>0</v>
      </c>
      <c r="E203" s="18">
        <v>0</v>
      </c>
    </row>
    <row r="204" spans="1:5" x14ac:dyDescent="0.25">
      <c r="A204" s="18">
        <v>1975</v>
      </c>
      <c r="B204" s="18" t="s">
        <v>10</v>
      </c>
      <c r="C204" s="18">
        <v>0</v>
      </c>
      <c r="D204" s="18">
        <v>0</v>
      </c>
      <c r="E204" s="18">
        <v>0</v>
      </c>
    </row>
    <row r="205" spans="1:5" x14ac:dyDescent="0.25">
      <c r="A205" s="18">
        <v>1976</v>
      </c>
      <c r="B205" s="18" t="s">
        <v>10</v>
      </c>
      <c r="C205" s="18">
        <v>0</v>
      </c>
      <c r="D205" s="18">
        <v>0</v>
      </c>
      <c r="E205" s="18">
        <v>0</v>
      </c>
    </row>
    <row r="206" spans="1:5" x14ac:dyDescent="0.25">
      <c r="A206" s="18">
        <v>1977</v>
      </c>
      <c r="B206" s="18" t="s">
        <v>10</v>
      </c>
      <c r="C206" s="18">
        <v>0</v>
      </c>
      <c r="D206" s="18">
        <v>0</v>
      </c>
      <c r="E206" s="18">
        <v>0</v>
      </c>
    </row>
    <row r="207" spans="1:5" x14ac:dyDescent="0.25">
      <c r="A207" s="18">
        <v>1978</v>
      </c>
      <c r="B207" s="18" t="s">
        <v>10</v>
      </c>
      <c r="C207" s="18">
        <v>0</v>
      </c>
      <c r="D207" s="18">
        <v>0</v>
      </c>
      <c r="E207" s="18">
        <v>0</v>
      </c>
    </row>
    <row r="208" spans="1:5" x14ac:dyDescent="0.25">
      <c r="A208" s="18">
        <v>1979</v>
      </c>
      <c r="B208" s="18" t="s">
        <v>10</v>
      </c>
      <c r="C208" s="18">
        <v>0</v>
      </c>
      <c r="D208" s="18">
        <v>0</v>
      </c>
      <c r="E208" s="18">
        <v>0</v>
      </c>
    </row>
    <row r="209" spans="1:5" x14ac:dyDescent="0.25">
      <c r="A209" s="18">
        <v>1980</v>
      </c>
      <c r="B209" s="18" t="s">
        <v>10</v>
      </c>
      <c r="C209" s="18">
        <v>0</v>
      </c>
      <c r="D209" s="18">
        <v>0</v>
      </c>
      <c r="E209" s="18">
        <v>0</v>
      </c>
    </row>
    <row r="210" spans="1:5" x14ac:dyDescent="0.25">
      <c r="A210" s="18">
        <v>1981</v>
      </c>
      <c r="B210" s="18" t="s">
        <v>10</v>
      </c>
      <c r="C210" s="18">
        <v>0</v>
      </c>
      <c r="D210" s="18">
        <v>0</v>
      </c>
      <c r="E210" s="18">
        <v>0</v>
      </c>
    </row>
    <row r="211" spans="1:5" x14ac:dyDescent="0.25">
      <c r="A211" s="18">
        <v>1982</v>
      </c>
      <c r="B211" s="18" t="s">
        <v>10</v>
      </c>
      <c r="C211" s="18">
        <v>0</v>
      </c>
      <c r="D211" s="18">
        <v>0</v>
      </c>
      <c r="E211" s="18">
        <v>0</v>
      </c>
    </row>
    <row r="212" spans="1:5" x14ac:dyDescent="0.25">
      <c r="A212" s="18">
        <v>1983</v>
      </c>
      <c r="B212" s="18" t="s">
        <v>10</v>
      </c>
      <c r="C212" s="18">
        <v>0</v>
      </c>
      <c r="D212" s="18">
        <v>0</v>
      </c>
      <c r="E212" s="18">
        <v>0</v>
      </c>
    </row>
    <row r="213" spans="1:5" x14ac:dyDescent="0.25">
      <c r="A213" s="18">
        <v>1984</v>
      </c>
      <c r="B213" s="18" t="s">
        <v>10</v>
      </c>
      <c r="C213" s="18">
        <v>0</v>
      </c>
      <c r="D213" s="18">
        <v>0</v>
      </c>
      <c r="E213" s="18">
        <v>0</v>
      </c>
    </row>
    <row r="214" spans="1:5" x14ac:dyDescent="0.25">
      <c r="A214" s="18">
        <v>1985</v>
      </c>
      <c r="B214" s="18" t="s">
        <v>10</v>
      </c>
      <c r="C214" s="18">
        <v>0</v>
      </c>
      <c r="D214" s="18">
        <v>0</v>
      </c>
      <c r="E214" s="18">
        <v>0</v>
      </c>
    </row>
    <row r="215" spans="1:5" x14ac:dyDescent="0.25">
      <c r="A215" s="18">
        <v>1986</v>
      </c>
      <c r="B215" s="18" t="s">
        <v>10</v>
      </c>
      <c r="C215" s="18">
        <v>0</v>
      </c>
      <c r="D215" s="18">
        <v>0</v>
      </c>
      <c r="E215" s="18">
        <v>0</v>
      </c>
    </row>
    <row r="216" spans="1:5" x14ac:dyDescent="0.25">
      <c r="A216" s="18">
        <v>1987</v>
      </c>
      <c r="B216" s="18" t="s">
        <v>10</v>
      </c>
      <c r="C216" s="18">
        <v>0</v>
      </c>
      <c r="D216" s="18">
        <v>0</v>
      </c>
      <c r="E216" s="18">
        <v>0</v>
      </c>
    </row>
    <row r="217" spans="1:5" x14ac:dyDescent="0.25">
      <c r="A217" s="18">
        <v>1988</v>
      </c>
      <c r="B217" s="18" t="s">
        <v>10</v>
      </c>
      <c r="C217" s="18">
        <v>0</v>
      </c>
      <c r="D217" s="18">
        <v>0</v>
      </c>
      <c r="E217" s="18">
        <v>0</v>
      </c>
    </row>
    <row r="218" spans="1:5" x14ac:dyDescent="0.25">
      <c r="A218" s="18">
        <v>1989</v>
      </c>
      <c r="B218" s="18" t="s">
        <v>10</v>
      </c>
      <c r="C218" s="18">
        <v>0</v>
      </c>
      <c r="D218" s="18">
        <v>0</v>
      </c>
      <c r="E218" s="18">
        <v>0</v>
      </c>
    </row>
    <row r="219" spans="1:5" x14ac:dyDescent="0.25">
      <c r="A219" s="18">
        <v>1990</v>
      </c>
      <c r="B219" s="18" t="s">
        <v>10</v>
      </c>
      <c r="C219" s="18">
        <v>2937</v>
      </c>
      <c r="D219" s="18">
        <v>1538</v>
      </c>
      <c r="E219" s="18">
        <v>1399</v>
      </c>
    </row>
    <row r="220" spans="1:5" x14ac:dyDescent="0.25">
      <c r="A220" s="18">
        <v>1991</v>
      </c>
      <c r="B220" s="18" t="s">
        <v>10</v>
      </c>
      <c r="C220" s="18">
        <v>0</v>
      </c>
      <c r="D220" s="18">
        <v>0</v>
      </c>
      <c r="E220" s="18">
        <v>0</v>
      </c>
    </row>
    <row r="221" spans="1:5" x14ac:dyDescent="0.25">
      <c r="A221" s="18">
        <v>1992</v>
      </c>
      <c r="B221" s="18" t="s">
        <v>10</v>
      </c>
      <c r="C221" s="18">
        <v>0</v>
      </c>
      <c r="D221" s="18">
        <v>0</v>
      </c>
      <c r="E221" s="18">
        <v>0</v>
      </c>
    </row>
    <row r="222" spans="1:5" x14ac:dyDescent="0.25">
      <c r="A222" s="18">
        <v>1993</v>
      </c>
      <c r="B222" s="18" t="s">
        <v>10</v>
      </c>
      <c r="C222" s="18">
        <v>0</v>
      </c>
      <c r="D222" s="18">
        <v>0</v>
      </c>
      <c r="E222" s="18">
        <v>0</v>
      </c>
    </row>
    <row r="223" spans="1:5" x14ac:dyDescent="0.25">
      <c r="A223" s="18">
        <v>1994</v>
      </c>
      <c r="B223" s="18" t="s">
        <v>10</v>
      </c>
      <c r="C223" s="18">
        <v>0</v>
      </c>
      <c r="D223" s="18">
        <v>0</v>
      </c>
      <c r="E223" s="18">
        <v>0</v>
      </c>
    </row>
    <row r="224" spans="1:5" x14ac:dyDescent="0.25">
      <c r="A224" s="18">
        <v>1995</v>
      </c>
      <c r="B224" s="18" t="s">
        <v>10</v>
      </c>
      <c r="C224" s="18">
        <v>0</v>
      </c>
      <c r="D224" s="18">
        <v>0</v>
      </c>
      <c r="E224" s="18">
        <v>0</v>
      </c>
    </row>
    <row r="225" spans="1:5" x14ac:dyDescent="0.25">
      <c r="A225" s="18">
        <v>1996</v>
      </c>
      <c r="B225" s="18" t="s">
        <v>10</v>
      </c>
      <c r="C225" s="18">
        <v>0</v>
      </c>
      <c r="D225" s="18">
        <v>0</v>
      </c>
      <c r="E225" s="18">
        <v>0</v>
      </c>
    </row>
    <row r="226" spans="1:5" x14ac:dyDescent="0.25">
      <c r="A226" s="18">
        <v>1997</v>
      </c>
      <c r="B226" s="18" t="s">
        <v>10</v>
      </c>
      <c r="C226" s="18">
        <v>0</v>
      </c>
      <c r="D226" s="18">
        <v>0</v>
      </c>
      <c r="E226" s="18">
        <v>0</v>
      </c>
    </row>
    <row r="227" spans="1:5" x14ac:dyDescent="0.25">
      <c r="A227" s="18">
        <v>1998</v>
      </c>
      <c r="B227" s="18" t="s">
        <v>10</v>
      </c>
      <c r="C227" s="18">
        <v>0</v>
      </c>
      <c r="D227" s="18">
        <v>0</v>
      </c>
      <c r="E227" s="18">
        <v>0</v>
      </c>
    </row>
    <row r="228" spans="1:5" x14ac:dyDescent="0.25">
      <c r="A228" s="18">
        <v>1999</v>
      </c>
      <c r="B228" s="18" t="s">
        <v>10</v>
      </c>
      <c r="C228" s="18">
        <v>0</v>
      </c>
      <c r="D228" s="18">
        <v>0</v>
      </c>
      <c r="E228" s="18">
        <v>0</v>
      </c>
    </row>
    <row r="229" spans="1:5" x14ac:dyDescent="0.25">
      <c r="A229" s="18">
        <v>2000</v>
      </c>
      <c r="B229" s="18" t="s">
        <v>10</v>
      </c>
      <c r="C229" s="18">
        <v>4169</v>
      </c>
      <c r="D229" s="18">
        <v>2129</v>
      </c>
      <c r="E229" s="18">
        <v>2040</v>
      </c>
    </row>
    <row r="230" spans="1:5" x14ac:dyDescent="0.25">
      <c r="A230" s="18">
        <v>2001</v>
      </c>
      <c r="B230" s="18" t="s">
        <v>10</v>
      </c>
      <c r="C230" s="18">
        <v>0</v>
      </c>
      <c r="D230" s="18">
        <v>0</v>
      </c>
      <c r="E230" s="18">
        <v>0</v>
      </c>
    </row>
    <row r="231" spans="1:5" x14ac:dyDescent="0.25">
      <c r="A231" s="18">
        <v>2002</v>
      </c>
      <c r="B231" s="18" t="s">
        <v>10</v>
      </c>
      <c r="C231" s="18">
        <v>0</v>
      </c>
      <c r="D231" s="18">
        <v>0</v>
      </c>
      <c r="E231" s="18">
        <v>0</v>
      </c>
    </row>
    <row r="232" spans="1:5" x14ac:dyDescent="0.25">
      <c r="A232" s="18">
        <v>2003</v>
      </c>
      <c r="B232" s="18" t="s">
        <v>10</v>
      </c>
      <c r="C232" s="18">
        <v>0</v>
      </c>
      <c r="D232" s="18">
        <v>0</v>
      </c>
      <c r="E232" s="18">
        <v>0</v>
      </c>
    </row>
    <row r="233" spans="1:5" x14ac:dyDescent="0.25">
      <c r="A233" s="18">
        <v>2004</v>
      </c>
      <c r="B233" s="18" t="s">
        <v>10</v>
      </c>
      <c r="C233" s="18">
        <v>0</v>
      </c>
      <c r="D233" s="18">
        <v>0</v>
      </c>
      <c r="E233" s="18">
        <v>0</v>
      </c>
    </row>
    <row r="234" spans="1:5" x14ac:dyDescent="0.25">
      <c r="A234" s="18">
        <v>2005</v>
      </c>
      <c r="B234" s="18" t="s">
        <v>10</v>
      </c>
      <c r="C234" s="18">
        <v>0</v>
      </c>
      <c r="D234" s="18">
        <v>0</v>
      </c>
      <c r="E234" s="18">
        <v>0</v>
      </c>
    </row>
    <row r="235" spans="1:5" x14ac:dyDescent="0.25">
      <c r="A235" s="18">
        <v>2006</v>
      </c>
      <c r="B235" s="18" t="s">
        <v>10</v>
      </c>
      <c r="C235" s="18">
        <v>0</v>
      </c>
      <c r="D235" s="18">
        <v>0</v>
      </c>
      <c r="E235" s="18">
        <v>0</v>
      </c>
    </row>
    <row r="236" spans="1:5" x14ac:dyDescent="0.25">
      <c r="A236" s="18">
        <v>2007</v>
      </c>
      <c r="B236" s="18" t="s">
        <v>10</v>
      </c>
      <c r="C236" s="18">
        <v>0</v>
      </c>
      <c r="D236" s="18">
        <v>0</v>
      </c>
      <c r="E236" s="18">
        <v>0</v>
      </c>
    </row>
    <row r="237" spans="1:5" x14ac:dyDescent="0.25">
      <c r="A237" s="18">
        <v>2008</v>
      </c>
      <c r="B237" s="18" t="s">
        <v>10</v>
      </c>
      <c r="C237" s="18">
        <v>0</v>
      </c>
      <c r="D237" s="18">
        <v>0</v>
      </c>
      <c r="E237" s="18">
        <v>0</v>
      </c>
    </row>
    <row r="238" spans="1:5" x14ac:dyDescent="0.25">
      <c r="A238" s="18">
        <v>1950</v>
      </c>
      <c r="B238" s="18" t="s">
        <v>12</v>
      </c>
      <c r="C238" s="18">
        <v>0</v>
      </c>
      <c r="D238" s="18">
        <v>0</v>
      </c>
      <c r="E238" s="18">
        <v>0</v>
      </c>
    </row>
    <row r="239" spans="1:5" x14ac:dyDescent="0.25">
      <c r="A239" s="18">
        <v>1951</v>
      </c>
      <c r="B239" s="18" t="s">
        <v>12</v>
      </c>
      <c r="C239" s="18">
        <v>0</v>
      </c>
      <c r="D239" s="18">
        <v>0</v>
      </c>
      <c r="E239" s="18">
        <v>0</v>
      </c>
    </row>
    <row r="240" spans="1:5" x14ac:dyDescent="0.25">
      <c r="A240" s="18">
        <v>1952</v>
      </c>
      <c r="B240" s="18" t="s">
        <v>12</v>
      </c>
      <c r="C240" s="18">
        <v>0</v>
      </c>
      <c r="D240" s="18">
        <v>0</v>
      </c>
      <c r="E240" s="18">
        <v>0</v>
      </c>
    </row>
    <row r="241" spans="1:5" x14ac:dyDescent="0.25">
      <c r="A241" s="18">
        <v>1953</v>
      </c>
      <c r="B241" s="18" t="s">
        <v>12</v>
      </c>
      <c r="C241" s="18">
        <v>0</v>
      </c>
      <c r="D241" s="18">
        <v>0</v>
      </c>
      <c r="E241" s="18">
        <v>0</v>
      </c>
    </row>
    <row r="242" spans="1:5" x14ac:dyDescent="0.25">
      <c r="A242" s="18">
        <v>1954</v>
      </c>
      <c r="B242" s="18" t="s">
        <v>12</v>
      </c>
      <c r="C242" s="18">
        <v>0</v>
      </c>
      <c r="D242" s="18">
        <v>0</v>
      </c>
      <c r="E242" s="18">
        <v>0</v>
      </c>
    </row>
    <row r="243" spans="1:5" x14ac:dyDescent="0.25">
      <c r="A243" s="18">
        <v>1955</v>
      </c>
      <c r="B243" s="18" t="s">
        <v>12</v>
      </c>
      <c r="C243" s="18">
        <v>0</v>
      </c>
      <c r="D243" s="18">
        <v>0</v>
      </c>
      <c r="E243" s="18">
        <v>0</v>
      </c>
    </row>
    <row r="244" spans="1:5" x14ac:dyDescent="0.25">
      <c r="A244" s="18">
        <v>1956</v>
      </c>
      <c r="B244" s="18" t="s">
        <v>12</v>
      </c>
      <c r="C244" s="18">
        <v>0</v>
      </c>
      <c r="D244" s="18">
        <v>0</v>
      </c>
      <c r="E244" s="18">
        <v>0</v>
      </c>
    </row>
    <row r="245" spans="1:5" x14ac:dyDescent="0.25">
      <c r="A245" s="18">
        <v>1957</v>
      </c>
      <c r="B245" s="18" t="s">
        <v>12</v>
      </c>
      <c r="C245" s="18">
        <v>0</v>
      </c>
      <c r="D245" s="18">
        <v>0</v>
      </c>
      <c r="E245" s="18">
        <v>0</v>
      </c>
    </row>
    <row r="246" spans="1:5" x14ac:dyDescent="0.25">
      <c r="A246" s="18">
        <v>1958</v>
      </c>
      <c r="B246" s="18" t="s">
        <v>12</v>
      </c>
      <c r="C246" s="18">
        <v>0</v>
      </c>
      <c r="D246" s="18">
        <v>0</v>
      </c>
      <c r="E246" s="18">
        <v>0</v>
      </c>
    </row>
    <row r="247" spans="1:5" x14ac:dyDescent="0.25">
      <c r="A247" s="18">
        <v>1959</v>
      </c>
      <c r="B247" s="18" t="s">
        <v>12</v>
      </c>
      <c r="C247" s="18">
        <v>0</v>
      </c>
      <c r="D247" s="18">
        <v>0</v>
      </c>
      <c r="E247" s="18">
        <v>0</v>
      </c>
    </row>
    <row r="248" spans="1:5" x14ac:dyDescent="0.25">
      <c r="A248" s="18">
        <v>1960</v>
      </c>
      <c r="B248" s="18" t="s">
        <v>12</v>
      </c>
      <c r="C248" s="18">
        <v>0</v>
      </c>
      <c r="D248" s="18">
        <v>0</v>
      </c>
      <c r="E248" s="18">
        <v>0</v>
      </c>
    </row>
    <row r="249" spans="1:5" x14ac:dyDescent="0.25">
      <c r="A249" s="18">
        <v>1961</v>
      </c>
      <c r="B249" s="18" t="s">
        <v>12</v>
      </c>
      <c r="C249" s="18">
        <v>0</v>
      </c>
      <c r="D249" s="18">
        <v>0</v>
      </c>
      <c r="E249" s="18">
        <v>0</v>
      </c>
    </row>
    <row r="250" spans="1:5" x14ac:dyDescent="0.25">
      <c r="A250" s="18">
        <v>1962</v>
      </c>
      <c r="B250" s="18" t="s">
        <v>12</v>
      </c>
      <c r="C250" s="18">
        <v>0</v>
      </c>
      <c r="D250" s="18">
        <v>0</v>
      </c>
      <c r="E250" s="18">
        <v>0</v>
      </c>
    </row>
    <row r="251" spans="1:5" x14ac:dyDescent="0.25">
      <c r="A251" s="18">
        <v>1963</v>
      </c>
      <c r="B251" s="18" t="s">
        <v>12</v>
      </c>
      <c r="C251" s="18">
        <v>0</v>
      </c>
      <c r="D251" s="18">
        <v>0</v>
      </c>
      <c r="E251" s="18">
        <v>0</v>
      </c>
    </row>
    <row r="252" spans="1:5" x14ac:dyDescent="0.25">
      <c r="A252" s="18">
        <v>1964</v>
      </c>
      <c r="B252" s="18" t="s">
        <v>12</v>
      </c>
      <c r="C252" s="18">
        <v>0</v>
      </c>
      <c r="D252" s="18">
        <v>0</v>
      </c>
      <c r="E252" s="18">
        <v>0</v>
      </c>
    </row>
    <row r="253" spans="1:5" x14ac:dyDescent="0.25">
      <c r="A253" s="18">
        <v>1965</v>
      </c>
      <c r="B253" s="18" t="s">
        <v>12</v>
      </c>
      <c r="C253" s="18">
        <v>0</v>
      </c>
      <c r="D253" s="18">
        <v>0</v>
      </c>
      <c r="E253" s="18">
        <v>0</v>
      </c>
    </row>
    <row r="254" spans="1:5" x14ac:dyDescent="0.25">
      <c r="A254" s="18">
        <v>1966</v>
      </c>
      <c r="B254" s="18" t="s">
        <v>12</v>
      </c>
      <c r="C254" s="18">
        <v>0</v>
      </c>
      <c r="D254" s="18">
        <v>0</v>
      </c>
      <c r="E254" s="18">
        <v>0</v>
      </c>
    </row>
    <row r="255" spans="1:5" x14ac:dyDescent="0.25">
      <c r="A255" s="18">
        <v>1967</v>
      </c>
      <c r="B255" s="18" t="s">
        <v>12</v>
      </c>
      <c r="C255" s="18">
        <v>0</v>
      </c>
      <c r="D255" s="18">
        <v>0</v>
      </c>
      <c r="E255" s="18">
        <v>0</v>
      </c>
    </row>
    <row r="256" spans="1:5" x14ac:dyDescent="0.25">
      <c r="A256" s="18">
        <v>1968</v>
      </c>
      <c r="B256" s="18" t="s">
        <v>12</v>
      </c>
      <c r="C256" s="18">
        <v>0</v>
      </c>
      <c r="D256" s="18">
        <v>0</v>
      </c>
      <c r="E256" s="18">
        <v>0</v>
      </c>
    </row>
    <row r="257" spans="1:5" x14ac:dyDescent="0.25">
      <c r="A257" s="18">
        <v>1969</v>
      </c>
      <c r="B257" s="18" t="s">
        <v>12</v>
      </c>
      <c r="C257" s="18">
        <v>0</v>
      </c>
      <c r="D257" s="18">
        <v>0</v>
      </c>
      <c r="E257" s="18">
        <v>0</v>
      </c>
    </row>
    <row r="258" spans="1:5" x14ac:dyDescent="0.25">
      <c r="A258" s="18">
        <v>1970</v>
      </c>
      <c r="B258" s="18" t="s">
        <v>12</v>
      </c>
      <c r="C258" s="18">
        <v>0</v>
      </c>
      <c r="D258" s="18">
        <v>0</v>
      </c>
      <c r="E258" s="18">
        <v>0</v>
      </c>
    </row>
    <row r="259" spans="1:5" x14ac:dyDescent="0.25">
      <c r="A259" s="18">
        <v>1971</v>
      </c>
      <c r="B259" s="18" t="s">
        <v>12</v>
      </c>
      <c r="C259" s="18">
        <v>0</v>
      </c>
      <c r="D259" s="18">
        <v>0</v>
      </c>
      <c r="E259" s="18">
        <v>0</v>
      </c>
    </row>
    <row r="260" spans="1:5" x14ac:dyDescent="0.25">
      <c r="A260" s="18">
        <v>1972</v>
      </c>
      <c r="B260" s="18" t="s">
        <v>12</v>
      </c>
      <c r="C260" s="18">
        <v>0</v>
      </c>
      <c r="D260" s="18">
        <v>0</v>
      </c>
      <c r="E260" s="18">
        <v>0</v>
      </c>
    </row>
    <row r="261" spans="1:5" x14ac:dyDescent="0.25">
      <c r="A261" s="18">
        <v>1973</v>
      </c>
      <c r="B261" s="18" t="s">
        <v>12</v>
      </c>
      <c r="C261" s="18">
        <v>0</v>
      </c>
      <c r="D261" s="18">
        <v>0</v>
      </c>
      <c r="E261" s="18">
        <v>0</v>
      </c>
    </row>
    <row r="262" spans="1:5" x14ac:dyDescent="0.25">
      <c r="A262" s="18">
        <v>1974</v>
      </c>
      <c r="B262" s="18" t="s">
        <v>12</v>
      </c>
      <c r="C262" s="18">
        <v>0</v>
      </c>
      <c r="D262" s="18">
        <v>0</v>
      </c>
      <c r="E262" s="18">
        <v>0</v>
      </c>
    </row>
    <row r="263" spans="1:5" x14ac:dyDescent="0.25">
      <c r="A263" s="18">
        <v>1975</v>
      </c>
      <c r="B263" s="18" t="s">
        <v>12</v>
      </c>
      <c r="C263" s="18">
        <v>8233</v>
      </c>
      <c r="D263" s="18">
        <v>3844</v>
      </c>
      <c r="E263" s="18">
        <v>4387</v>
      </c>
    </row>
    <row r="264" spans="1:5" x14ac:dyDescent="0.25">
      <c r="A264" s="18">
        <v>1976</v>
      </c>
      <c r="B264" s="18" t="s">
        <v>12</v>
      </c>
      <c r="C264" s="18">
        <v>0</v>
      </c>
      <c r="D264" s="18">
        <v>0</v>
      </c>
      <c r="E264" s="18">
        <v>0</v>
      </c>
    </row>
    <row r="265" spans="1:5" x14ac:dyDescent="0.25">
      <c r="A265" s="18">
        <v>1977</v>
      </c>
      <c r="B265" s="18" t="s">
        <v>12</v>
      </c>
      <c r="C265" s="18">
        <v>0</v>
      </c>
      <c r="D265" s="18">
        <v>0</v>
      </c>
      <c r="E265" s="18">
        <v>0</v>
      </c>
    </row>
    <row r="266" spans="1:5" x14ac:dyDescent="0.25">
      <c r="A266" s="18">
        <v>1978</v>
      </c>
      <c r="B266" s="18" t="s">
        <v>12</v>
      </c>
      <c r="C266" s="18">
        <v>0</v>
      </c>
      <c r="D266" s="18">
        <v>0</v>
      </c>
      <c r="E266" s="18">
        <v>0</v>
      </c>
    </row>
    <row r="267" spans="1:5" x14ac:dyDescent="0.25">
      <c r="A267" s="18">
        <v>1979</v>
      </c>
      <c r="B267" s="18" t="s">
        <v>12</v>
      </c>
      <c r="C267" s="18">
        <v>0</v>
      </c>
      <c r="D267" s="18">
        <v>0</v>
      </c>
      <c r="E267" s="18">
        <v>0</v>
      </c>
    </row>
    <row r="268" spans="1:5" x14ac:dyDescent="0.25">
      <c r="A268" s="18">
        <v>1980</v>
      </c>
      <c r="B268" s="18" t="s">
        <v>12</v>
      </c>
      <c r="C268" s="18">
        <v>6332</v>
      </c>
      <c r="D268" s="18">
        <v>3187</v>
      </c>
      <c r="E268" s="18">
        <v>3144</v>
      </c>
    </row>
    <row r="269" spans="1:5" x14ac:dyDescent="0.25">
      <c r="A269" s="18">
        <v>1981</v>
      </c>
      <c r="B269" s="18" t="s">
        <v>12</v>
      </c>
      <c r="C269" s="18">
        <v>0</v>
      </c>
      <c r="D269" s="18">
        <v>0</v>
      </c>
      <c r="E269" s="18">
        <v>0</v>
      </c>
    </row>
    <row r="270" spans="1:5" x14ac:dyDescent="0.25">
      <c r="A270" s="18">
        <v>1982</v>
      </c>
      <c r="B270" s="18" t="s">
        <v>12</v>
      </c>
      <c r="C270" s="18">
        <v>0</v>
      </c>
      <c r="D270" s="18">
        <v>0</v>
      </c>
      <c r="E270" s="18">
        <v>0</v>
      </c>
    </row>
    <row r="271" spans="1:5" x14ac:dyDescent="0.25">
      <c r="A271" s="18">
        <v>1983</v>
      </c>
      <c r="B271" s="18" t="s">
        <v>12</v>
      </c>
      <c r="C271" s="18">
        <v>0</v>
      </c>
      <c r="D271" s="18">
        <v>0</v>
      </c>
      <c r="E271" s="18">
        <v>0</v>
      </c>
    </row>
    <row r="272" spans="1:5" x14ac:dyDescent="0.25">
      <c r="A272" s="18">
        <v>1984</v>
      </c>
      <c r="B272" s="18" t="s">
        <v>12</v>
      </c>
      <c r="C272" s="18">
        <v>0</v>
      </c>
      <c r="D272" s="18">
        <v>0</v>
      </c>
      <c r="E272" s="18">
        <v>0</v>
      </c>
    </row>
    <row r="273" spans="1:5" x14ac:dyDescent="0.25">
      <c r="A273" s="18">
        <v>1985</v>
      </c>
      <c r="B273" s="18" t="s">
        <v>12</v>
      </c>
      <c r="C273" s="18">
        <v>7154</v>
      </c>
      <c r="D273" s="18">
        <v>3731</v>
      </c>
      <c r="E273" s="18">
        <v>3423</v>
      </c>
    </row>
    <row r="274" spans="1:5" x14ac:dyDescent="0.25">
      <c r="A274" s="18">
        <v>1986</v>
      </c>
      <c r="B274" s="18" t="s">
        <v>12</v>
      </c>
      <c r="C274" s="18">
        <v>0</v>
      </c>
      <c r="D274" s="18">
        <v>0</v>
      </c>
      <c r="E274" s="18">
        <v>0</v>
      </c>
    </row>
    <row r="275" spans="1:5" x14ac:dyDescent="0.25">
      <c r="A275" s="18">
        <v>1987</v>
      </c>
      <c r="B275" s="18" t="s">
        <v>12</v>
      </c>
      <c r="C275" s="18">
        <v>0</v>
      </c>
      <c r="D275" s="18">
        <v>0</v>
      </c>
      <c r="E275" s="18">
        <v>0</v>
      </c>
    </row>
    <row r="276" spans="1:5" x14ac:dyDescent="0.25">
      <c r="A276" s="18">
        <v>1988</v>
      </c>
      <c r="B276" s="18" t="s">
        <v>12</v>
      </c>
      <c r="C276" s="18">
        <v>0</v>
      </c>
      <c r="D276" s="18">
        <v>0</v>
      </c>
      <c r="E276" s="18">
        <v>0</v>
      </c>
    </row>
    <row r="277" spans="1:5" x14ac:dyDescent="0.25">
      <c r="A277" s="18">
        <v>1989</v>
      </c>
      <c r="B277" s="18" t="s">
        <v>12</v>
      </c>
      <c r="C277" s="18">
        <v>0</v>
      </c>
      <c r="D277" s="18">
        <v>0</v>
      </c>
      <c r="E277" s="18">
        <v>0</v>
      </c>
    </row>
    <row r="278" spans="1:5" x14ac:dyDescent="0.25">
      <c r="A278" s="18">
        <v>1990</v>
      </c>
      <c r="B278" s="18" t="s">
        <v>12</v>
      </c>
      <c r="C278" s="18">
        <v>10409</v>
      </c>
      <c r="D278" s="18">
        <v>5283</v>
      </c>
      <c r="E278" s="18">
        <v>5127</v>
      </c>
    </row>
    <row r="279" spans="1:5" x14ac:dyDescent="0.25">
      <c r="A279" s="18">
        <v>1991</v>
      </c>
      <c r="B279" s="18" t="s">
        <v>12</v>
      </c>
      <c r="C279" s="18">
        <v>0</v>
      </c>
      <c r="D279" s="18">
        <v>0</v>
      </c>
      <c r="E279" s="18">
        <v>0</v>
      </c>
    </row>
    <row r="280" spans="1:5" x14ac:dyDescent="0.25">
      <c r="A280" s="18">
        <v>1992</v>
      </c>
      <c r="B280" s="18" t="s">
        <v>12</v>
      </c>
      <c r="C280" s="18">
        <v>0</v>
      </c>
      <c r="D280" s="18">
        <v>0</v>
      </c>
      <c r="E280" s="18">
        <v>0</v>
      </c>
    </row>
    <row r="281" spans="1:5" x14ac:dyDescent="0.25">
      <c r="A281" s="18">
        <v>1993</v>
      </c>
      <c r="B281" s="18" t="s">
        <v>12</v>
      </c>
      <c r="C281" s="18">
        <v>0</v>
      </c>
      <c r="D281" s="18">
        <v>0</v>
      </c>
      <c r="E281" s="18">
        <v>0</v>
      </c>
    </row>
    <row r="282" spans="1:5" x14ac:dyDescent="0.25">
      <c r="A282" s="18">
        <v>1994</v>
      </c>
      <c r="B282" s="18" t="s">
        <v>12</v>
      </c>
      <c r="C282" s="18">
        <v>0</v>
      </c>
      <c r="D282" s="18">
        <v>0</v>
      </c>
      <c r="E282" s="18">
        <v>0</v>
      </c>
    </row>
    <row r="283" spans="1:5" x14ac:dyDescent="0.25">
      <c r="A283" s="18">
        <v>1995</v>
      </c>
      <c r="B283" s="18" t="s">
        <v>12</v>
      </c>
      <c r="C283" s="18">
        <v>0</v>
      </c>
      <c r="D283" s="18">
        <v>0</v>
      </c>
      <c r="E283" s="18">
        <v>0</v>
      </c>
    </row>
    <row r="284" spans="1:5" x14ac:dyDescent="0.25">
      <c r="A284" s="18">
        <v>1996</v>
      </c>
      <c r="B284" s="18" t="s">
        <v>12</v>
      </c>
      <c r="C284" s="18">
        <v>0</v>
      </c>
      <c r="D284" s="18">
        <v>0</v>
      </c>
      <c r="E284" s="18">
        <v>0</v>
      </c>
    </row>
    <row r="285" spans="1:5" x14ac:dyDescent="0.25">
      <c r="A285" s="18">
        <v>1997</v>
      </c>
      <c r="B285" s="18" t="s">
        <v>12</v>
      </c>
      <c r="C285" s="18">
        <v>0</v>
      </c>
      <c r="D285" s="18">
        <v>0</v>
      </c>
      <c r="E285" s="18">
        <v>0</v>
      </c>
    </row>
    <row r="286" spans="1:5" x14ac:dyDescent="0.25">
      <c r="A286" s="18">
        <v>1998</v>
      </c>
      <c r="B286" s="18" t="s">
        <v>12</v>
      </c>
      <c r="C286" s="18">
        <v>0</v>
      </c>
      <c r="D286" s="18">
        <v>0</v>
      </c>
      <c r="E286" s="18">
        <v>0</v>
      </c>
    </row>
    <row r="287" spans="1:5" x14ac:dyDescent="0.25">
      <c r="A287" s="18">
        <v>1999</v>
      </c>
      <c r="B287" s="18" t="s">
        <v>12</v>
      </c>
      <c r="C287" s="18">
        <v>0</v>
      </c>
      <c r="D287" s="18">
        <v>0</v>
      </c>
      <c r="E287" s="18">
        <v>0</v>
      </c>
    </row>
    <row r="288" spans="1:5" x14ac:dyDescent="0.25">
      <c r="A288" s="18">
        <v>2000</v>
      </c>
      <c r="B288" s="18" t="s">
        <v>12</v>
      </c>
      <c r="C288" s="18">
        <v>14695</v>
      </c>
      <c r="D288" s="18">
        <v>7586</v>
      </c>
      <c r="E288" s="18">
        <v>7108</v>
      </c>
    </row>
    <row r="289" spans="1:5" x14ac:dyDescent="0.25">
      <c r="A289" s="18">
        <v>2001</v>
      </c>
      <c r="B289" s="18" t="s">
        <v>12</v>
      </c>
      <c r="C289" s="18">
        <v>0</v>
      </c>
      <c r="D289" s="18">
        <v>0</v>
      </c>
      <c r="E289" s="18">
        <v>0</v>
      </c>
    </row>
    <row r="290" spans="1:5" x14ac:dyDescent="0.25">
      <c r="A290" s="18">
        <v>2002</v>
      </c>
      <c r="B290" s="18" t="s">
        <v>12</v>
      </c>
      <c r="C290" s="18">
        <v>0</v>
      </c>
      <c r="D290" s="18">
        <v>0</v>
      </c>
      <c r="E290" s="18">
        <v>0</v>
      </c>
    </row>
    <row r="291" spans="1:5" x14ac:dyDescent="0.25">
      <c r="A291" s="18">
        <v>2003</v>
      </c>
      <c r="B291" s="18" t="s">
        <v>12</v>
      </c>
      <c r="C291" s="18">
        <v>0</v>
      </c>
      <c r="D291" s="18">
        <v>0</v>
      </c>
      <c r="E291" s="18">
        <v>0</v>
      </c>
    </row>
    <row r="292" spans="1:5" x14ac:dyDescent="0.25">
      <c r="A292" s="18">
        <v>2004</v>
      </c>
      <c r="B292" s="18" t="s">
        <v>12</v>
      </c>
      <c r="C292" s="18">
        <v>0</v>
      </c>
      <c r="D292" s="18">
        <v>0</v>
      </c>
      <c r="E292" s="18">
        <v>0</v>
      </c>
    </row>
    <row r="293" spans="1:5" x14ac:dyDescent="0.25">
      <c r="A293" s="18">
        <v>2005</v>
      </c>
      <c r="B293" s="18" t="s">
        <v>12</v>
      </c>
      <c r="C293" s="18">
        <v>0</v>
      </c>
      <c r="D293" s="18">
        <v>0</v>
      </c>
      <c r="E293" s="18">
        <v>0</v>
      </c>
    </row>
    <row r="294" spans="1:5" x14ac:dyDescent="0.25">
      <c r="A294" s="18">
        <v>2006</v>
      </c>
      <c r="B294" s="18" t="s">
        <v>12</v>
      </c>
      <c r="C294" s="18">
        <v>0</v>
      </c>
      <c r="D294" s="18">
        <v>0</v>
      </c>
      <c r="E294" s="18">
        <v>0</v>
      </c>
    </row>
    <row r="295" spans="1:5" x14ac:dyDescent="0.25">
      <c r="A295" s="18">
        <v>2007</v>
      </c>
      <c r="B295" s="18" t="s">
        <v>12</v>
      </c>
      <c r="C295" s="18">
        <v>0</v>
      </c>
      <c r="D295" s="18">
        <v>0</v>
      </c>
      <c r="E295" s="18">
        <v>0</v>
      </c>
    </row>
    <row r="296" spans="1:5" x14ac:dyDescent="0.25">
      <c r="A296" s="18">
        <v>2008</v>
      </c>
      <c r="B296" s="18" t="s">
        <v>12</v>
      </c>
      <c r="C296" s="18">
        <v>0</v>
      </c>
      <c r="D296" s="18">
        <v>0</v>
      </c>
      <c r="E296" s="18">
        <v>0</v>
      </c>
    </row>
    <row r="297" spans="1:5" x14ac:dyDescent="0.25">
      <c r="A297" s="18">
        <v>1950</v>
      </c>
      <c r="B297" s="18" t="s">
        <v>26</v>
      </c>
      <c r="C297" s="18">
        <v>0</v>
      </c>
      <c r="D297" s="18">
        <v>0</v>
      </c>
      <c r="E297" s="18">
        <v>0</v>
      </c>
    </row>
    <row r="298" spans="1:5" x14ac:dyDescent="0.25">
      <c r="A298" s="18">
        <v>1951</v>
      </c>
      <c r="B298" s="18" t="s">
        <v>26</v>
      </c>
      <c r="C298" s="18">
        <v>0</v>
      </c>
      <c r="D298" s="18">
        <v>0</v>
      </c>
      <c r="E298" s="18">
        <v>0</v>
      </c>
    </row>
    <row r="299" spans="1:5" x14ac:dyDescent="0.25">
      <c r="A299" s="18">
        <v>1952</v>
      </c>
      <c r="B299" s="18" t="s">
        <v>26</v>
      </c>
      <c r="C299" s="18">
        <v>0</v>
      </c>
      <c r="D299" s="18">
        <v>0</v>
      </c>
      <c r="E299" s="18">
        <v>0</v>
      </c>
    </row>
    <row r="300" spans="1:5" x14ac:dyDescent="0.25">
      <c r="A300" s="18">
        <v>1953</v>
      </c>
      <c r="B300" s="18" t="s">
        <v>26</v>
      </c>
      <c r="C300" s="18">
        <v>0</v>
      </c>
      <c r="D300" s="18">
        <v>0</v>
      </c>
      <c r="E300" s="18">
        <v>0</v>
      </c>
    </row>
    <row r="301" spans="1:5" x14ac:dyDescent="0.25">
      <c r="A301" s="18">
        <v>1954</v>
      </c>
      <c r="B301" s="18" t="s">
        <v>26</v>
      </c>
      <c r="C301" s="18">
        <v>0</v>
      </c>
      <c r="D301" s="18">
        <v>0</v>
      </c>
      <c r="E301" s="18">
        <v>0</v>
      </c>
    </row>
    <row r="302" spans="1:5" x14ac:dyDescent="0.25">
      <c r="A302" s="18">
        <v>1955</v>
      </c>
      <c r="B302" s="18" t="s">
        <v>26</v>
      </c>
      <c r="C302" s="18">
        <v>0</v>
      </c>
      <c r="D302" s="18">
        <v>0</v>
      </c>
      <c r="E302" s="18">
        <v>0</v>
      </c>
    </row>
    <row r="303" spans="1:5" x14ac:dyDescent="0.25">
      <c r="A303" s="18">
        <v>1956</v>
      </c>
      <c r="B303" s="18" t="s">
        <v>26</v>
      </c>
      <c r="C303" s="18">
        <v>0</v>
      </c>
      <c r="D303" s="18">
        <v>0</v>
      </c>
      <c r="E303" s="18">
        <v>0</v>
      </c>
    </row>
    <row r="304" spans="1:5" x14ac:dyDescent="0.25">
      <c r="A304" s="18">
        <v>1957</v>
      </c>
      <c r="B304" s="18" t="s">
        <v>26</v>
      </c>
      <c r="C304" s="18">
        <v>0</v>
      </c>
      <c r="D304" s="18">
        <v>0</v>
      </c>
      <c r="E304" s="18">
        <v>0</v>
      </c>
    </row>
    <row r="305" spans="1:5" x14ac:dyDescent="0.25">
      <c r="A305" s="18">
        <v>1958</v>
      </c>
      <c r="B305" s="18" t="s">
        <v>26</v>
      </c>
      <c r="C305" s="18">
        <v>0</v>
      </c>
      <c r="D305" s="18">
        <v>0</v>
      </c>
      <c r="E305" s="18">
        <v>0</v>
      </c>
    </row>
    <row r="306" spans="1:5" x14ac:dyDescent="0.25">
      <c r="A306" s="18">
        <v>1959</v>
      </c>
      <c r="B306" s="18" t="s">
        <v>26</v>
      </c>
      <c r="C306" s="18">
        <v>0</v>
      </c>
      <c r="D306" s="18">
        <v>0</v>
      </c>
      <c r="E306" s="18">
        <v>0</v>
      </c>
    </row>
    <row r="307" spans="1:5" x14ac:dyDescent="0.25">
      <c r="A307" s="18">
        <v>1960</v>
      </c>
      <c r="B307" s="18" t="s">
        <v>26</v>
      </c>
      <c r="C307" s="18">
        <v>0</v>
      </c>
      <c r="D307" s="18">
        <v>0</v>
      </c>
      <c r="E307" s="18">
        <v>0</v>
      </c>
    </row>
    <row r="308" spans="1:5" x14ac:dyDescent="0.25">
      <c r="A308" s="18">
        <v>1961</v>
      </c>
      <c r="B308" s="18" t="s">
        <v>26</v>
      </c>
      <c r="C308" s="18">
        <v>0</v>
      </c>
      <c r="D308" s="18">
        <v>0</v>
      </c>
      <c r="E308" s="18">
        <v>0</v>
      </c>
    </row>
    <row r="309" spans="1:5" x14ac:dyDescent="0.25">
      <c r="A309" s="18">
        <v>1962</v>
      </c>
      <c r="B309" s="18" t="s">
        <v>26</v>
      </c>
      <c r="C309" s="18">
        <v>0</v>
      </c>
      <c r="D309" s="18">
        <v>0</v>
      </c>
      <c r="E309" s="18">
        <v>0</v>
      </c>
    </row>
    <row r="310" spans="1:5" x14ac:dyDescent="0.25">
      <c r="A310" s="18">
        <v>1963</v>
      </c>
      <c r="B310" s="18" t="s">
        <v>26</v>
      </c>
      <c r="C310" s="18">
        <v>0</v>
      </c>
      <c r="D310" s="18">
        <v>0</v>
      </c>
      <c r="E310" s="18">
        <v>0</v>
      </c>
    </row>
    <row r="311" spans="1:5" x14ac:dyDescent="0.25">
      <c r="A311" s="18">
        <v>1964</v>
      </c>
      <c r="B311" s="18" t="s">
        <v>26</v>
      </c>
      <c r="C311" s="18">
        <v>0</v>
      </c>
      <c r="D311" s="18">
        <v>0</v>
      </c>
      <c r="E311" s="18">
        <v>0</v>
      </c>
    </row>
    <row r="312" spans="1:5" x14ac:dyDescent="0.25">
      <c r="A312" s="18">
        <v>1965</v>
      </c>
      <c r="B312" s="18" t="s">
        <v>26</v>
      </c>
      <c r="C312" s="18">
        <v>0</v>
      </c>
      <c r="D312" s="18">
        <v>0</v>
      </c>
      <c r="E312" s="18">
        <v>0</v>
      </c>
    </row>
    <row r="313" spans="1:5" x14ac:dyDescent="0.25">
      <c r="A313" s="18">
        <v>1966</v>
      </c>
      <c r="B313" s="18" t="s">
        <v>26</v>
      </c>
      <c r="C313" s="18">
        <v>0</v>
      </c>
      <c r="D313" s="18">
        <v>0</v>
      </c>
      <c r="E313" s="18">
        <v>0</v>
      </c>
    </row>
    <row r="314" spans="1:5" x14ac:dyDescent="0.25">
      <c r="A314" s="18">
        <v>1967</v>
      </c>
      <c r="B314" s="18" t="s">
        <v>26</v>
      </c>
      <c r="C314" s="18">
        <v>0</v>
      </c>
      <c r="D314" s="18">
        <v>0</v>
      </c>
      <c r="E314" s="18">
        <v>0</v>
      </c>
    </row>
    <row r="315" spans="1:5" x14ac:dyDescent="0.25">
      <c r="A315" s="18">
        <v>1968</v>
      </c>
      <c r="B315" s="18" t="s">
        <v>26</v>
      </c>
      <c r="C315" s="18">
        <v>0</v>
      </c>
      <c r="D315" s="18">
        <v>0</v>
      </c>
      <c r="E315" s="18">
        <v>0</v>
      </c>
    </row>
    <row r="316" spans="1:5" x14ac:dyDescent="0.25">
      <c r="A316" s="18">
        <v>1969</v>
      </c>
      <c r="B316" s="18" t="s">
        <v>26</v>
      </c>
      <c r="C316" s="18">
        <v>0</v>
      </c>
      <c r="D316" s="18">
        <v>0</v>
      </c>
      <c r="E316" s="18">
        <v>0</v>
      </c>
    </row>
    <row r="317" spans="1:5" x14ac:dyDescent="0.25">
      <c r="A317" s="18">
        <v>1970</v>
      </c>
      <c r="B317" s="18" t="s">
        <v>26</v>
      </c>
      <c r="C317" s="18">
        <v>0</v>
      </c>
      <c r="D317" s="18">
        <v>0</v>
      </c>
      <c r="E317" s="18">
        <v>0</v>
      </c>
    </row>
    <row r="318" spans="1:5" x14ac:dyDescent="0.25">
      <c r="A318" s="18">
        <v>1971</v>
      </c>
      <c r="B318" s="18" t="s">
        <v>26</v>
      </c>
      <c r="C318" s="18">
        <v>0</v>
      </c>
      <c r="D318" s="18">
        <v>0</v>
      </c>
      <c r="E318" s="18">
        <v>0</v>
      </c>
    </row>
    <row r="319" spans="1:5" x14ac:dyDescent="0.25">
      <c r="A319" s="18">
        <v>1972</v>
      </c>
      <c r="B319" s="18" t="s">
        <v>26</v>
      </c>
      <c r="C319" s="18">
        <v>0</v>
      </c>
      <c r="D319" s="18">
        <v>0</v>
      </c>
      <c r="E319" s="18">
        <v>0</v>
      </c>
    </row>
    <row r="320" spans="1:5" x14ac:dyDescent="0.25">
      <c r="A320" s="18">
        <v>1973</v>
      </c>
      <c r="B320" s="18" t="s">
        <v>26</v>
      </c>
      <c r="C320" s="18">
        <v>0</v>
      </c>
      <c r="D320" s="18">
        <v>0</v>
      </c>
      <c r="E320" s="18">
        <v>0</v>
      </c>
    </row>
    <row r="321" spans="1:5" x14ac:dyDescent="0.25">
      <c r="A321" s="18">
        <v>1974</v>
      </c>
      <c r="B321" s="18" t="s">
        <v>26</v>
      </c>
      <c r="C321" s="18">
        <v>0</v>
      </c>
      <c r="D321" s="18">
        <v>0</v>
      </c>
      <c r="E321" s="18">
        <v>0</v>
      </c>
    </row>
    <row r="322" spans="1:5" x14ac:dyDescent="0.25">
      <c r="A322" s="18">
        <v>1975</v>
      </c>
      <c r="B322" s="18" t="s">
        <v>26</v>
      </c>
      <c r="C322" s="18">
        <v>0</v>
      </c>
      <c r="D322" s="18">
        <v>0</v>
      </c>
      <c r="E322" s="18">
        <v>0</v>
      </c>
    </row>
    <row r="323" spans="1:5" x14ac:dyDescent="0.25">
      <c r="A323" s="18">
        <v>1976</v>
      </c>
      <c r="B323" s="18" t="s">
        <v>26</v>
      </c>
      <c r="C323" s="18">
        <v>0</v>
      </c>
      <c r="D323" s="18">
        <v>0</v>
      </c>
      <c r="E323" s="18">
        <v>0</v>
      </c>
    </row>
    <row r="324" spans="1:5" x14ac:dyDescent="0.25">
      <c r="A324" s="18">
        <v>1977</v>
      </c>
      <c r="B324" s="18" t="s">
        <v>26</v>
      </c>
      <c r="C324" s="18">
        <v>0</v>
      </c>
      <c r="D324" s="18">
        <v>0</v>
      </c>
      <c r="E324" s="18">
        <v>0</v>
      </c>
    </row>
    <row r="325" spans="1:5" x14ac:dyDescent="0.25">
      <c r="A325" s="18">
        <v>1978</v>
      </c>
      <c r="B325" s="18" t="s">
        <v>26</v>
      </c>
      <c r="C325" s="18">
        <v>0</v>
      </c>
      <c r="D325" s="18">
        <v>0</v>
      </c>
      <c r="E325" s="18">
        <v>0</v>
      </c>
    </row>
    <row r="326" spans="1:5" x14ac:dyDescent="0.25">
      <c r="A326" s="18">
        <v>1979</v>
      </c>
      <c r="B326" s="18" t="s">
        <v>26</v>
      </c>
      <c r="C326" s="18">
        <v>0</v>
      </c>
      <c r="D326" s="18">
        <v>0</v>
      </c>
      <c r="E326" s="18">
        <v>0</v>
      </c>
    </row>
    <row r="327" spans="1:5" x14ac:dyDescent="0.25">
      <c r="A327" s="18">
        <v>1980</v>
      </c>
      <c r="B327" s="18" t="s">
        <v>26</v>
      </c>
      <c r="C327" s="18">
        <v>0</v>
      </c>
      <c r="D327" s="18">
        <v>0</v>
      </c>
      <c r="E327" s="18">
        <v>0</v>
      </c>
    </row>
    <row r="328" spans="1:5" x14ac:dyDescent="0.25">
      <c r="A328" s="18">
        <v>1981</v>
      </c>
      <c r="B328" s="18" t="s">
        <v>26</v>
      </c>
      <c r="C328" s="18">
        <v>0</v>
      </c>
      <c r="D328" s="18">
        <v>0</v>
      </c>
      <c r="E328" s="18">
        <v>0</v>
      </c>
    </row>
    <row r="329" spans="1:5" x14ac:dyDescent="0.25">
      <c r="A329" s="18">
        <v>1982</v>
      </c>
      <c r="B329" s="18" t="s">
        <v>26</v>
      </c>
      <c r="C329" s="18">
        <v>0</v>
      </c>
      <c r="D329" s="18">
        <v>0</v>
      </c>
      <c r="E329" s="18">
        <v>0</v>
      </c>
    </row>
    <row r="330" spans="1:5" x14ac:dyDescent="0.25">
      <c r="A330" s="18">
        <v>1983</v>
      </c>
      <c r="B330" s="18" t="s">
        <v>26</v>
      </c>
      <c r="C330" s="18">
        <v>0</v>
      </c>
      <c r="D330" s="18">
        <v>0</v>
      </c>
      <c r="E330" s="18">
        <v>0</v>
      </c>
    </row>
    <row r="331" spans="1:5" x14ac:dyDescent="0.25">
      <c r="A331" s="18">
        <v>1984</v>
      </c>
      <c r="B331" s="18" t="s">
        <v>26</v>
      </c>
      <c r="C331" s="18">
        <v>0</v>
      </c>
      <c r="D331" s="18">
        <v>0</v>
      </c>
      <c r="E331" s="18">
        <v>0</v>
      </c>
    </row>
    <row r="332" spans="1:5" x14ac:dyDescent="0.25">
      <c r="A332" s="18">
        <v>1985</v>
      </c>
      <c r="B332" s="18" t="s">
        <v>26</v>
      </c>
      <c r="C332" s="18">
        <v>0</v>
      </c>
      <c r="D332" s="18">
        <v>0</v>
      </c>
      <c r="E332" s="18">
        <v>0</v>
      </c>
    </row>
    <row r="333" spans="1:5" x14ac:dyDescent="0.25">
      <c r="A333" s="18">
        <v>1986</v>
      </c>
      <c r="B333" s="18" t="s">
        <v>26</v>
      </c>
      <c r="C333" s="18">
        <v>0</v>
      </c>
      <c r="D333" s="18">
        <v>0</v>
      </c>
      <c r="E333" s="18">
        <v>0</v>
      </c>
    </row>
    <row r="334" spans="1:5" x14ac:dyDescent="0.25">
      <c r="A334" s="18">
        <v>1987</v>
      </c>
      <c r="B334" s="18" t="s">
        <v>26</v>
      </c>
      <c r="C334" s="18">
        <v>0</v>
      </c>
      <c r="D334" s="18">
        <v>0</v>
      </c>
      <c r="E334" s="18">
        <v>0</v>
      </c>
    </row>
    <row r="335" spans="1:5" x14ac:dyDescent="0.25">
      <c r="A335" s="18">
        <v>1988</v>
      </c>
      <c r="B335" s="18" t="s">
        <v>26</v>
      </c>
      <c r="C335" s="18">
        <v>0</v>
      </c>
      <c r="D335" s="18">
        <v>0</v>
      </c>
      <c r="E335" s="18">
        <v>0</v>
      </c>
    </row>
    <row r="336" spans="1:5" x14ac:dyDescent="0.25">
      <c r="A336" s="18">
        <v>1989</v>
      </c>
      <c r="B336" s="18" t="s">
        <v>26</v>
      </c>
      <c r="C336" s="18">
        <v>0</v>
      </c>
      <c r="D336" s="18">
        <v>0</v>
      </c>
      <c r="E336" s="18">
        <v>0</v>
      </c>
    </row>
    <row r="337" spans="1:5" x14ac:dyDescent="0.25">
      <c r="A337" s="18">
        <v>1990</v>
      </c>
      <c r="B337" s="18" t="s">
        <v>26</v>
      </c>
      <c r="C337" s="18">
        <v>734</v>
      </c>
      <c r="D337" s="18">
        <v>387</v>
      </c>
      <c r="E337" s="18">
        <v>346</v>
      </c>
    </row>
    <row r="338" spans="1:5" x14ac:dyDescent="0.25">
      <c r="A338" s="18">
        <v>1991</v>
      </c>
      <c r="B338" s="18" t="s">
        <v>26</v>
      </c>
      <c r="C338" s="18">
        <v>0</v>
      </c>
      <c r="D338" s="18">
        <v>0</v>
      </c>
      <c r="E338" s="18">
        <v>0</v>
      </c>
    </row>
    <row r="339" spans="1:5" x14ac:dyDescent="0.25">
      <c r="A339" s="18">
        <v>1992</v>
      </c>
      <c r="B339" s="18" t="s">
        <v>26</v>
      </c>
      <c r="C339" s="18">
        <v>0</v>
      </c>
      <c r="D339" s="18">
        <v>0</v>
      </c>
      <c r="E339" s="18">
        <v>0</v>
      </c>
    </row>
    <row r="340" spans="1:5" x14ac:dyDescent="0.25">
      <c r="A340" s="18">
        <v>1993</v>
      </c>
      <c r="B340" s="18" t="s">
        <v>26</v>
      </c>
      <c r="C340" s="18">
        <v>0</v>
      </c>
      <c r="D340" s="18">
        <v>0</v>
      </c>
      <c r="E340" s="18">
        <v>0</v>
      </c>
    </row>
    <row r="341" spans="1:5" x14ac:dyDescent="0.25">
      <c r="A341" s="18">
        <v>1994</v>
      </c>
      <c r="B341" s="18" t="s">
        <v>26</v>
      </c>
      <c r="C341" s="18">
        <v>0</v>
      </c>
      <c r="D341" s="18">
        <v>0</v>
      </c>
      <c r="E341" s="18">
        <v>0</v>
      </c>
    </row>
    <row r="342" spans="1:5" x14ac:dyDescent="0.25">
      <c r="A342" s="18">
        <v>1995</v>
      </c>
      <c r="B342" s="18" t="s">
        <v>26</v>
      </c>
      <c r="C342" s="18">
        <v>0</v>
      </c>
      <c r="D342" s="18">
        <v>0</v>
      </c>
      <c r="E342" s="18">
        <v>0</v>
      </c>
    </row>
    <row r="343" spans="1:5" x14ac:dyDescent="0.25">
      <c r="A343" s="18">
        <v>1996</v>
      </c>
      <c r="B343" s="18" t="s">
        <v>26</v>
      </c>
      <c r="C343" s="18">
        <v>0</v>
      </c>
      <c r="D343" s="18">
        <v>0</v>
      </c>
      <c r="E343" s="18">
        <v>0</v>
      </c>
    </row>
    <row r="344" spans="1:5" x14ac:dyDescent="0.25">
      <c r="A344" s="18">
        <v>1997</v>
      </c>
      <c r="B344" s="18" t="s">
        <v>26</v>
      </c>
      <c r="C344" s="18">
        <v>0</v>
      </c>
      <c r="D344" s="18">
        <v>0</v>
      </c>
      <c r="E344" s="18">
        <v>0</v>
      </c>
    </row>
    <row r="345" spans="1:5" x14ac:dyDescent="0.25">
      <c r="A345" s="18">
        <v>1998</v>
      </c>
      <c r="B345" s="18" t="s">
        <v>26</v>
      </c>
      <c r="C345" s="18">
        <v>0</v>
      </c>
      <c r="D345" s="18">
        <v>0</v>
      </c>
      <c r="E345" s="18">
        <v>0</v>
      </c>
    </row>
    <row r="346" spans="1:5" x14ac:dyDescent="0.25">
      <c r="A346" s="18">
        <v>1999</v>
      </c>
      <c r="B346" s="18" t="s">
        <v>26</v>
      </c>
      <c r="C346" s="18">
        <v>0</v>
      </c>
      <c r="D346" s="18">
        <v>0</v>
      </c>
      <c r="E346" s="18">
        <v>0</v>
      </c>
    </row>
    <row r="347" spans="1:5" x14ac:dyDescent="0.25">
      <c r="A347" s="18">
        <v>2000</v>
      </c>
      <c r="B347" s="18" t="s">
        <v>26</v>
      </c>
      <c r="C347" s="18">
        <v>923</v>
      </c>
      <c r="D347" s="18">
        <v>476</v>
      </c>
      <c r="E347" s="18">
        <v>447</v>
      </c>
    </row>
    <row r="348" spans="1:5" x14ac:dyDescent="0.25">
      <c r="A348" s="18">
        <v>2001</v>
      </c>
      <c r="B348" s="18" t="s">
        <v>26</v>
      </c>
      <c r="C348" s="18">
        <v>0</v>
      </c>
      <c r="D348" s="18">
        <v>0</v>
      </c>
      <c r="E348" s="18">
        <v>0</v>
      </c>
    </row>
    <row r="349" spans="1:5" x14ac:dyDescent="0.25">
      <c r="A349" s="18">
        <v>2002</v>
      </c>
      <c r="B349" s="18" t="s">
        <v>26</v>
      </c>
      <c r="C349" s="18">
        <v>0</v>
      </c>
      <c r="D349" s="18">
        <v>0</v>
      </c>
      <c r="E349" s="18">
        <v>0</v>
      </c>
    </row>
    <row r="350" spans="1:5" x14ac:dyDescent="0.25">
      <c r="A350" s="18">
        <v>2003</v>
      </c>
      <c r="B350" s="18" t="s">
        <v>26</v>
      </c>
      <c r="C350" s="18">
        <v>0</v>
      </c>
      <c r="D350" s="18">
        <v>0</v>
      </c>
      <c r="E350" s="18">
        <v>0</v>
      </c>
    </row>
    <row r="351" spans="1:5" x14ac:dyDescent="0.25">
      <c r="A351" s="18">
        <v>2004</v>
      </c>
      <c r="B351" s="18" t="s">
        <v>26</v>
      </c>
      <c r="C351" s="18">
        <v>0</v>
      </c>
      <c r="D351" s="18">
        <v>0</v>
      </c>
      <c r="E351" s="18">
        <v>0</v>
      </c>
    </row>
    <row r="352" spans="1:5" x14ac:dyDescent="0.25">
      <c r="A352" s="18">
        <v>2005</v>
      </c>
      <c r="B352" s="18" t="s">
        <v>26</v>
      </c>
      <c r="C352" s="18">
        <v>0</v>
      </c>
      <c r="D352" s="18">
        <v>0</v>
      </c>
      <c r="E352" s="18">
        <v>0</v>
      </c>
    </row>
    <row r="353" spans="1:5" x14ac:dyDescent="0.25">
      <c r="A353" s="18">
        <v>2006</v>
      </c>
      <c r="B353" s="18" t="s">
        <v>26</v>
      </c>
      <c r="C353" s="18">
        <v>0</v>
      </c>
      <c r="D353" s="18">
        <v>0</v>
      </c>
      <c r="E353" s="18">
        <v>0</v>
      </c>
    </row>
    <row r="354" spans="1:5" x14ac:dyDescent="0.25">
      <c r="A354" s="18">
        <v>2007</v>
      </c>
      <c r="B354" s="18" t="s">
        <v>26</v>
      </c>
      <c r="C354" s="18">
        <v>0</v>
      </c>
      <c r="D354" s="18">
        <v>0</v>
      </c>
      <c r="E354" s="18">
        <v>0</v>
      </c>
    </row>
    <row r="355" spans="1:5" x14ac:dyDescent="0.25">
      <c r="A355" s="18">
        <v>2008</v>
      </c>
      <c r="B355" s="18" t="s">
        <v>26</v>
      </c>
      <c r="C355" s="18">
        <v>0</v>
      </c>
      <c r="D355" s="18">
        <v>0</v>
      </c>
      <c r="E355" s="18">
        <v>0</v>
      </c>
    </row>
    <row r="356" spans="1:5" x14ac:dyDescent="0.25">
      <c r="A356" s="18">
        <v>1950</v>
      </c>
      <c r="B356" s="18" t="s">
        <v>27</v>
      </c>
      <c r="C356" s="18">
        <v>0</v>
      </c>
      <c r="D356" s="18">
        <v>0</v>
      </c>
      <c r="E356" s="18">
        <v>0</v>
      </c>
    </row>
    <row r="357" spans="1:5" x14ac:dyDescent="0.25">
      <c r="A357" s="18">
        <v>1951</v>
      </c>
      <c r="B357" s="18" t="s">
        <v>27</v>
      </c>
      <c r="C357" s="18">
        <v>0</v>
      </c>
      <c r="D357" s="18">
        <v>0</v>
      </c>
      <c r="E357" s="18">
        <v>0</v>
      </c>
    </row>
    <row r="358" spans="1:5" x14ac:dyDescent="0.25">
      <c r="A358" s="18">
        <v>1952</v>
      </c>
      <c r="B358" s="18" t="s">
        <v>27</v>
      </c>
      <c r="C358" s="18">
        <v>0</v>
      </c>
      <c r="D358" s="18">
        <v>0</v>
      </c>
      <c r="E358" s="18">
        <v>0</v>
      </c>
    </row>
    <row r="359" spans="1:5" x14ac:dyDescent="0.25">
      <c r="A359" s="18">
        <v>1953</v>
      </c>
      <c r="B359" s="18" t="s">
        <v>27</v>
      </c>
      <c r="C359" s="18">
        <v>0</v>
      </c>
      <c r="D359" s="18">
        <v>0</v>
      </c>
      <c r="E359" s="18">
        <v>0</v>
      </c>
    </row>
    <row r="360" spans="1:5" x14ac:dyDescent="0.25">
      <c r="A360" s="18">
        <v>1954</v>
      </c>
      <c r="B360" s="18" t="s">
        <v>27</v>
      </c>
      <c r="C360" s="18">
        <v>0</v>
      </c>
      <c r="D360" s="18">
        <v>0</v>
      </c>
      <c r="E360" s="18">
        <v>0</v>
      </c>
    </row>
    <row r="361" spans="1:5" x14ac:dyDescent="0.25">
      <c r="A361" s="18">
        <v>1955</v>
      </c>
      <c r="B361" s="18" t="s">
        <v>27</v>
      </c>
      <c r="C361" s="18">
        <v>0</v>
      </c>
      <c r="D361" s="18">
        <v>0</v>
      </c>
      <c r="E361" s="18">
        <v>0</v>
      </c>
    </row>
    <row r="362" spans="1:5" x14ac:dyDescent="0.25">
      <c r="A362" s="18">
        <v>1956</v>
      </c>
      <c r="B362" s="18" t="s">
        <v>27</v>
      </c>
      <c r="C362" s="18">
        <v>0</v>
      </c>
      <c r="D362" s="18">
        <v>0</v>
      </c>
      <c r="E362" s="18">
        <v>0</v>
      </c>
    </row>
    <row r="363" spans="1:5" x14ac:dyDescent="0.25">
      <c r="A363" s="18">
        <v>1957</v>
      </c>
      <c r="B363" s="18" t="s">
        <v>27</v>
      </c>
      <c r="C363" s="18">
        <v>0</v>
      </c>
      <c r="D363" s="18">
        <v>0</v>
      </c>
      <c r="E363" s="18">
        <v>0</v>
      </c>
    </row>
    <row r="364" spans="1:5" x14ac:dyDescent="0.25">
      <c r="A364" s="18">
        <v>1958</v>
      </c>
      <c r="B364" s="18" t="s">
        <v>27</v>
      </c>
      <c r="C364" s="18">
        <v>0</v>
      </c>
      <c r="D364" s="18">
        <v>0</v>
      </c>
      <c r="E364" s="18">
        <v>0</v>
      </c>
    </row>
    <row r="365" spans="1:5" x14ac:dyDescent="0.25">
      <c r="A365" s="18">
        <v>1959</v>
      </c>
      <c r="B365" s="18" t="s">
        <v>27</v>
      </c>
      <c r="C365" s="18">
        <v>0</v>
      </c>
      <c r="D365" s="18">
        <v>0</v>
      </c>
      <c r="E365" s="18">
        <v>0</v>
      </c>
    </row>
    <row r="366" spans="1:5" x14ac:dyDescent="0.25">
      <c r="A366" s="18">
        <v>1960</v>
      </c>
      <c r="B366" s="18" t="s">
        <v>27</v>
      </c>
      <c r="C366" s="18">
        <v>0</v>
      </c>
      <c r="D366" s="18">
        <v>0</v>
      </c>
      <c r="E366" s="18">
        <v>0</v>
      </c>
    </row>
    <row r="367" spans="1:5" x14ac:dyDescent="0.25">
      <c r="A367" s="18">
        <v>1961</v>
      </c>
      <c r="B367" s="18" t="s">
        <v>27</v>
      </c>
      <c r="C367" s="18">
        <v>0</v>
      </c>
      <c r="D367" s="18">
        <v>0</v>
      </c>
      <c r="E367" s="18">
        <v>0</v>
      </c>
    </row>
    <row r="368" spans="1:5" x14ac:dyDescent="0.25">
      <c r="A368" s="18">
        <v>1962</v>
      </c>
      <c r="B368" s="18" t="s">
        <v>27</v>
      </c>
      <c r="C368" s="18">
        <v>0</v>
      </c>
      <c r="D368" s="18">
        <v>0</v>
      </c>
      <c r="E368" s="18">
        <v>0</v>
      </c>
    </row>
    <row r="369" spans="1:5" x14ac:dyDescent="0.25">
      <c r="A369" s="18">
        <v>1963</v>
      </c>
      <c r="B369" s="18" t="s">
        <v>27</v>
      </c>
      <c r="C369" s="18">
        <v>0</v>
      </c>
      <c r="D369" s="18">
        <v>0</v>
      </c>
      <c r="E369" s="18">
        <v>0</v>
      </c>
    </row>
    <row r="370" spans="1:5" x14ac:dyDescent="0.25">
      <c r="A370" s="18">
        <v>1964</v>
      </c>
      <c r="B370" s="18" t="s">
        <v>27</v>
      </c>
      <c r="C370" s="18">
        <v>0</v>
      </c>
      <c r="D370" s="18">
        <v>0</v>
      </c>
      <c r="E370" s="18">
        <v>0</v>
      </c>
    </row>
    <row r="371" spans="1:5" x14ac:dyDescent="0.25">
      <c r="A371" s="18">
        <v>1965</v>
      </c>
      <c r="B371" s="18" t="s">
        <v>27</v>
      </c>
      <c r="C371" s="18">
        <v>0</v>
      </c>
      <c r="D371" s="18">
        <v>0</v>
      </c>
      <c r="E371" s="18">
        <v>0</v>
      </c>
    </row>
    <row r="372" spans="1:5" x14ac:dyDescent="0.25">
      <c r="A372" s="18">
        <v>1966</v>
      </c>
      <c r="B372" s="18" t="s">
        <v>27</v>
      </c>
      <c r="C372" s="18">
        <v>0</v>
      </c>
      <c r="D372" s="18">
        <v>0</v>
      </c>
      <c r="E372" s="18">
        <v>0</v>
      </c>
    </row>
    <row r="373" spans="1:5" x14ac:dyDescent="0.25">
      <c r="A373" s="18">
        <v>1967</v>
      </c>
      <c r="B373" s="18" t="s">
        <v>27</v>
      </c>
      <c r="C373" s="18">
        <v>0</v>
      </c>
      <c r="D373" s="18">
        <v>0</v>
      </c>
      <c r="E373" s="18">
        <v>0</v>
      </c>
    </row>
    <row r="374" spans="1:5" x14ac:dyDescent="0.25">
      <c r="A374" s="18">
        <v>1968</v>
      </c>
      <c r="B374" s="18" t="s">
        <v>27</v>
      </c>
      <c r="C374" s="18">
        <v>0</v>
      </c>
      <c r="D374" s="18">
        <v>0</v>
      </c>
      <c r="E374" s="18">
        <v>0</v>
      </c>
    </row>
    <row r="375" spans="1:5" x14ac:dyDescent="0.25">
      <c r="A375" s="18">
        <v>1969</v>
      </c>
      <c r="B375" s="18" t="s">
        <v>27</v>
      </c>
      <c r="C375" s="18">
        <v>0</v>
      </c>
      <c r="D375" s="18">
        <v>0</v>
      </c>
      <c r="E375" s="18">
        <v>0</v>
      </c>
    </row>
    <row r="376" spans="1:5" x14ac:dyDescent="0.25">
      <c r="A376" s="18">
        <v>1970</v>
      </c>
      <c r="B376" s="18" t="s">
        <v>27</v>
      </c>
      <c r="C376" s="18">
        <v>0</v>
      </c>
      <c r="D376" s="18">
        <v>0</v>
      </c>
      <c r="E376" s="18">
        <v>0</v>
      </c>
    </row>
    <row r="377" spans="1:5" x14ac:dyDescent="0.25">
      <c r="A377" s="18">
        <v>1971</v>
      </c>
      <c r="B377" s="18" t="s">
        <v>27</v>
      </c>
      <c r="C377" s="18">
        <v>0</v>
      </c>
      <c r="D377" s="18">
        <v>0</v>
      </c>
      <c r="E377" s="18">
        <v>0</v>
      </c>
    </row>
    <row r="378" spans="1:5" x14ac:dyDescent="0.25">
      <c r="A378" s="18">
        <v>1972</v>
      </c>
      <c r="B378" s="18" t="s">
        <v>27</v>
      </c>
      <c r="C378" s="18">
        <v>0</v>
      </c>
      <c r="D378" s="18">
        <v>0</v>
      </c>
      <c r="E378" s="18">
        <v>0</v>
      </c>
    </row>
    <row r="379" spans="1:5" x14ac:dyDescent="0.25">
      <c r="A379" s="18">
        <v>1973</v>
      </c>
      <c r="B379" s="18" t="s">
        <v>27</v>
      </c>
      <c r="C379" s="18">
        <v>0</v>
      </c>
      <c r="D379" s="18">
        <v>0</v>
      </c>
      <c r="E379" s="18">
        <v>0</v>
      </c>
    </row>
    <row r="380" spans="1:5" x14ac:dyDescent="0.25">
      <c r="A380" s="18">
        <v>1974</v>
      </c>
      <c r="B380" s="18" t="s">
        <v>27</v>
      </c>
      <c r="C380" s="18">
        <v>0</v>
      </c>
      <c r="D380" s="18">
        <v>0</v>
      </c>
      <c r="E380" s="18">
        <v>0</v>
      </c>
    </row>
    <row r="381" spans="1:5" x14ac:dyDescent="0.25">
      <c r="A381" s="18">
        <v>1975</v>
      </c>
      <c r="B381" s="18" t="s">
        <v>27</v>
      </c>
      <c r="C381" s="18">
        <v>853</v>
      </c>
      <c r="D381" s="18">
        <v>420</v>
      </c>
      <c r="E381" s="18">
        <v>433</v>
      </c>
    </row>
    <row r="382" spans="1:5" x14ac:dyDescent="0.25">
      <c r="A382" s="18">
        <v>1976</v>
      </c>
      <c r="B382" s="18" t="s">
        <v>27</v>
      </c>
      <c r="C382" s="18">
        <v>0</v>
      </c>
      <c r="D382" s="18">
        <v>0</v>
      </c>
      <c r="E382" s="18">
        <v>0</v>
      </c>
    </row>
    <row r="383" spans="1:5" x14ac:dyDescent="0.25">
      <c r="A383" s="18">
        <v>1977</v>
      </c>
      <c r="B383" s="18" t="s">
        <v>27</v>
      </c>
      <c r="C383" s="18">
        <v>0</v>
      </c>
      <c r="D383" s="18">
        <v>0</v>
      </c>
      <c r="E383" s="18">
        <v>0</v>
      </c>
    </row>
    <row r="384" spans="1:5" x14ac:dyDescent="0.25">
      <c r="A384" s="18">
        <v>1978</v>
      </c>
      <c r="B384" s="18" t="s">
        <v>27</v>
      </c>
      <c r="C384" s="18">
        <v>0</v>
      </c>
      <c r="D384" s="18">
        <v>0</v>
      </c>
      <c r="E384" s="18">
        <v>0</v>
      </c>
    </row>
    <row r="385" spans="1:5" x14ac:dyDescent="0.25">
      <c r="A385" s="18">
        <v>1979</v>
      </c>
      <c r="B385" s="18" t="s">
        <v>27</v>
      </c>
      <c r="C385" s="18">
        <v>0</v>
      </c>
      <c r="D385" s="18">
        <v>0</v>
      </c>
      <c r="E385" s="18">
        <v>0</v>
      </c>
    </row>
    <row r="386" spans="1:5" x14ac:dyDescent="0.25">
      <c r="A386" s="18">
        <v>1980</v>
      </c>
      <c r="B386" s="18" t="s">
        <v>27</v>
      </c>
      <c r="C386" s="18">
        <v>1135</v>
      </c>
      <c r="D386" s="18">
        <v>563</v>
      </c>
      <c r="E386" s="18">
        <v>572</v>
      </c>
    </row>
    <row r="387" spans="1:5" x14ac:dyDescent="0.25">
      <c r="A387" s="18">
        <v>1981</v>
      </c>
      <c r="B387" s="18" t="s">
        <v>27</v>
      </c>
      <c r="C387" s="18">
        <v>0</v>
      </c>
      <c r="D387" s="18">
        <v>0</v>
      </c>
      <c r="E387" s="18">
        <v>0</v>
      </c>
    </row>
    <row r="388" spans="1:5" x14ac:dyDescent="0.25">
      <c r="A388" s="18">
        <v>1982</v>
      </c>
      <c r="B388" s="18" t="s">
        <v>27</v>
      </c>
      <c r="C388" s="18">
        <v>0</v>
      </c>
      <c r="D388" s="18">
        <v>0</v>
      </c>
      <c r="E388" s="18">
        <v>0</v>
      </c>
    </row>
    <row r="389" spans="1:5" x14ac:dyDescent="0.25">
      <c r="A389" s="18">
        <v>1983</v>
      </c>
      <c r="B389" s="18" t="s">
        <v>27</v>
      </c>
      <c r="C389" s="18">
        <v>0</v>
      </c>
      <c r="D389" s="18">
        <v>0</v>
      </c>
      <c r="E389" s="18">
        <v>0</v>
      </c>
    </row>
    <row r="390" spans="1:5" x14ac:dyDescent="0.25">
      <c r="A390" s="18">
        <v>1984</v>
      </c>
      <c r="B390" s="18" t="s">
        <v>27</v>
      </c>
      <c r="C390" s="18">
        <v>0</v>
      </c>
      <c r="D390" s="18">
        <v>0</v>
      </c>
      <c r="E390" s="18">
        <v>0</v>
      </c>
    </row>
    <row r="391" spans="1:5" x14ac:dyDescent="0.25">
      <c r="A391" s="18">
        <v>1985</v>
      </c>
      <c r="B391" s="18" t="s">
        <v>27</v>
      </c>
      <c r="C391" s="18">
        <v>1165</v>
      </c>
      <c r="D391" s="18">
        <v>613</v>
      </c>
      <c r="E391" s="18">
        <v>552</v>
      </c>
    </row>
    <row r="392" spans="1:5" x14ac:dyDescent="0.25">
      <c r="A392" s="18">
        <v>1986</v>
      </c>
      <c r="B392" s="18" t="s">
        <v>27</v>
      </c>
      <c r="C392" s="18">
        <v>0</v>
      </c>
      <c r="D392" s="18">
        <v>0</v>
      </c>
      <c r="E392" s="18">
        <v>0</v>
      </c>
    </row>
    <row r="393" spans="1:5" x14ac:dyDescent="0.25">
      <c r="A393" s="18">
        <v>1987</v>
      </c>
      <c r="B393" s="18" t="s">
        <v>27</v>
      </c>
      <c r="C393" s="18">
        <v>0</v>
      </c>
      <c r="D393" s="18">
        <v>0</v>
      </c>
      <c r="E393" s="18">
        <v>0</v>
      </c>
    </row>
    <row r="394" spans="1:5" x14ac:dyDescent="0.25">
      <c r="A394" s="18">
        <v>1988</v>
      </c>
      <c r="B394" s="18" t="s">
        <v>27</v>
      </c>
      <c r="C394" s="18">
        <v>0</v>
      </c>
      <c r="D394" s="18">
        <v>0</v>
      </c>
      <c r="E394" s="18">
        <v>0</v>
      </c>
    </row>
    <row r="395" spans="1:5" x14ac:dyDescent="0.25">
      <c r="A395" s="18">
        <v>1989</v>
      </c>
      <c r="B395" s="18" t="s">
        <v>27</v>
      </c>
      <c r="C395" s="18">
        <v>0</v>
      </c>
      <c r="D395" s="18">
        <v>0</v>
      </c>
      <c r="E395" s="18">
        <v>0</v>
      </c>
    </row>
    <row r="396" spans="1:5" x14ac:dyDescent="0.25">
      <c r="A396" s="18">
        <v>1990</v>
      </c>
      <c r="B396" s="18" t="s">
        <v>27</v>
      </c>
      <c r="C396" s="18">
        <v>1538</v>
      </c>
      <c r="D396" s="18">
        <v>846</v>
      </c>
      <c r="E396" s="18">
        <v>692</v>
      </c>
    </row>
    <row r="397" spans="1:5" x14ac:dyDescent="0.25">
      <c r="A397" s="18">
        <v>1991</v>
      </c>
      <c r="B397" s="18" t="s">
        <v>27</v>
      </c>
      <c r="C397" s="18">
        <v>0</v>
      </c>
      <c r="D397" s="18">
        <v>0</v>
      </c>
      <c r="E397" s="18">
        <v>0</v>
      </c>
    </row>
    <row r="398" spans="1:5" x14ac:dyDescent="0.25">
      <c r="A398" s="18">
        <v>1992</v>
      </c>
      <c r="B398" s="18" t="s">
        <v>27</v>
      </c>
      <c r="C398" s="18">
        <v>0</v>
      </c>
      <c r="D398" s="18">
        <v>0</v>
      </c>
      <c r="E398" s="18">
        <v>0</v>
      </c>
    </row>
    <row r="399" spans="1:5" x14ac:dyDescent="0.25">
      <c r="A399" s="18">
        <v>1993</v>
      </c>
      <c r="B399" s="18" t="s">
        <v>27</v>
      </c>
      <c r="C399" s="18">
        <v>0</v>
      </c>
      <c r="D399" s="18">
        <v>0</v>
      </c>
      <c r="E399" s="18">
        <v>0</v>
      </c>
    </row>
    <row r="400" spans="1:5" x14ac:dyDescent="0.25">
      <c r="A400" s="18">
        <v>1994</v>
      </c>
      <c r="B400" s="18" t="s">
        <v>27</v>
      </c>
      <c r="C400" s="18">
        <v>0</v>
      </c>
      <c r="D400" s="18">
        <v>0</v>
      </c>
      <c r="E400" s="18">
        <v>0</v>
      </c>
    </row>
    <row r="401" spans="1:5" x14ac:dyDescent="0.25">
      <c r="A401" s="18">
        <v>1995</v>
      </c>
      <c r="B401" s="18" t="s">
        <v>27</v>
      </c>
      <c r="C401" s="18">
        <v>0</v>
      </c>
      <c r="D401" s="18">
        <v>0</v>
      </c>
      <c r="E401" s="18">
        <v>0</v>
      </c>
    </row>
    <row r="402" spans="1:5" x14ac:dyDescent="0.25">
      <c r="A402" s="18">
        <v>1996</v>
      </c>
      <c r="B402" s="18" t="s">
        <v>27</v>
      </c>
      <c r="C402" s="18">
        <v>0</v>
      </c>
      <c r="D402" s="18">
        <v>0</v>
      </c>
      <c r="E402" s="18">
        <v>0</v>
      </c>
    </row>
    <row r="403" spans="1:5" x14ac:dyDescent="0.25">
      <c r="A403" s="18">
        <v>1997</v>
      </c>
      <c r="B403" s="18" t="s">
        <v>27</v>
      </c>
      <c r="C403" s="18">
        <v>0</v>
      </c>
      <c r="D403" s="18">
        <v>0</v>
      </c>
      <c r="E403" s="18">
        <v>0</v>
      </c>
    </row>
    <row r="404" spans="1:5" x14ac:dyDescent="0.25">
      <c r="A404" s="18">
        <v>1998</v>
      </c>
      <c r="B404" s="18" t="s">
        <v>27</v>
      </c>
      <c r="C404" s="18">
        <v>0</v>
      </c>
      <c r="D404" s="18">
        <v>0</v>
      </c>
      <c r="E404" s="18">
        <v>0</v>
      </c>
    </row>
    <row r="405" spans="1:5" x14ac:dyDescent="0.25">
      <c r="A405" s="18">
        <v>1999</v>
      </c>
      <c r="B405" s="18" t="s">
        <v>27</v>
      </c>
      <c r="C405" s="18">
        <v>0</v>
      </c>
      <c r="D405" s="18">
        <v>0</v>
      </c>
      <c r="E405" s="18">
        <v>0</v>
      </c>
    </row>
    <row r="406" spans="1:5" x14ac:dyDescent="0.25">
      <c r="A406" s="18">
        <v>2000</v>
      </c>
      <c r="B406" s="18" t="s">
        <v>27</v>
      </c>
      <c r="C406" s="18">
        <v>1863</v>
      </c>
      <c r="D406" s="18">
        <v>983</v>
      </c>
      <c r="E406" s="18">
        <v>880</v>
      </c>
    </row>
    <row r="407" spans="1:5" x14ac:dyDescent="0.25">
      <c r="A407" s="18">
        <v>2001</v>
      </c>
      <c r="B407" s="18" t="s">
        <v>27</v>
      </c>
      <c r="C407" s="18">
        <v>0</v>
      </c>
      <c r="D407" s="18">
        <v>0</v>
      </c>
      <c r="E407" s="18">
        <v>0</v>
      </c>
    </row>
    <row r="408" spans="1:5" x14ac:dyDescent="0.25">
      <c r="A408" s="18">
        <v>2002</v>
      </c>
      <c r="B408" s="18" t="s">
        <v>27</v>
      </c>
      <c r="C408" s="18">
        <v>0</v>
      </c>
      <c r="D408" s="18">
        <v>0</v>
      </c>
      <c r="E408" s="18">
        <v>0</v>
      </c>
    </row>
    <row r="409" spans="1:5" x14ac:dyDescent="0.25">
      <c r="A409" s="18">
        <v>2003</v>
      </c>
      <c r="B409" s="18" t="s">
        <v>27</v>
      </c>
      <c r="C409" s="18">
        <v>0</v>
      </c>
      <c r="D409" s="18">
        <v>0</v>
      </c>
      <c r="E409" s="18">
        <v>0</v>
      </c>
    </row>
    <row r="410" spans="1:5" x14ac:dyDescent="0.25">
      <c r="A410" s="18">
        <v>2004</v>
      </c>
      <c r="B410" s="18" t="s">
        <v>27</v>
      </c>
      <c r="C410" s="18">
        <v>0</v>
      </c>
      <c r="D410" s="18">
        <v>0</v>
      </c>
      <c r="E410" s="18">
        <v>0</v>
      </c>
    </row>
    <row r="411" spans="1:5" x14ac:dyDescent="0.25">
      <c r="A411" s="18">
        <v>2005</v>
      </c>
      <c r="B411" s="18" t="s">
        <v>27</v>
      </c>
      <c r="C411" s="18">
        <v>0</v>
      </c>
      <c r="D411" s="18">
        <v>0</v>
      </c>
      <c r="E411" s="18">
        <v>0</v>
      </c>
    </row>
    <row r="412" spans="1:5" x14ac:dyDescent="0.25">
      <c r="A412" s="18">
        <v>2006</v>
      </c>
      <c r="B412" s="18" t="s">
        <v>27</v>
      </c>
      <c r="C412" s="18">
        <v>0</v>
      </c>
      <c r="D412" s="18">
        <v>0</v>
      </c>
      <c r="E412" s="18">
        <v>0</v>
      </c>
    </row>
    <row r="413" spans="1:5" x14ac:dyDescent="0.25">
      <c r="A413" s="18">
        <v>2007</v>
      </c>
      <c r="B413" s="18" t="s">
        <v>27</v>
      </c>
      <c r="C413" s="18">
        <v>0</v>
      </c>
      <c r="D413" s="18">
        <v>0</v>
      </c>
      <c r="E413" s="18">
        <v>0</v>
      </c>
    </row>
    <row r="414" spans="1:5" x14ac:dyDescent="0.25">
      <c r="A414" s="18">
        <v>2008</v>
      </c>
      <c r="B414" s="18" t="s">
        <v>27</v>
      </c>
      <c r="C414" s="18">
        <v>0</v>
      </c>
      <c r="D414" s="18">
        <v>0</v>
      </c>
      <c r="E414" s="18">
        <v>0</v>
      </c>
    </row>
    <row r="415" spans="1:5" x14ac:dyDescent="0.25">
      <c r="A415" s="18">
        <v>1950</v>
      </c>
      <c r="B415" s="18" t="s">
        <v>29</v>
      </c>
      <c r="C415" s="18">
        <v>0</v>
      </c>
      <c r="D415" s="18">
        <v>0</v>
      </c>
      <c r="E415" s="18">
        <v>0</v>
      </c>
    </row>
    <row r="416" spans="1:5" x14ac:dyDescent="0.25">
      <c r="A416" s="18">
        <v>1951</v>
      </c>
      <c r="B416" s="18" t="s">
        <v>29</v>
      </c>
      <c r="C416" s="18">
        <v>0</v>
      </c>
      <c r="D416" s="18">
        <v>0</v>
      </c>
      <c r="E416" s="18">
        <v>0</v>
      </c>
    </row>
    <row r="417" spans="1:5" x14ac:dyDescent="0.25">
      <c r="A417" s="18">
        <v>1952</v>
      </c>
      <c r="B417" s="18" t="s">
        <v>29</v>
      </c>
      <c r="C417" s="18">
        <v>0</v>
      </c>
      <c r="D417" s="18">
        <v>0</v>
      </c>
      <c r="E417" s="18">
        <v>0</v>
      </c>
    </row>
    <row r="418" spans="1:5" x14ac:dyDescent="0.25">
      <c r="A418" s="18">
        <v>1953</v>
      </c>
      <c r="B418" s="18" t="s">
        <v>29</v>
      </c>
      <c r="C418" s="18">
        <v>0</v>
      </c>
      <c r="D418" s="18">
        <v>0</v>
      </c>
      <c r="E418" s="18">
        <v>0</v>
      </c>
    </row>
    <row r="419" spans="1:5" x14ac:dyDescent="0.25">
      <c r="A419" s="18">
        <v>1954</v>
      </c>
      <c r="B419" s="18" t="s">
        <v>29</v>
      </c>
      <c r="C419" s="18">
        <v>0</v>
      </c>
      <c r="D419" s="18">
        <v>0</v>
      </c>
      <c r="E419" s="18">
        <v>0</v>
      </c>
    </row>
    <row r="420" spans="1:5" x14ac:dyDescent="0.25">
      <c r="A420" s="18">
        <v>1955</v>
      </c>
      <c r="B420" s="18" t="s">
        <v>29</v>
      </c>
      <c r="C420" s="18">
        <v>0</v>
      </c>
      <c r="D420" s="18">
        <v>0</v>
      </c>
      <c r="E420" s="18">
        <v>0</v>
      </c>
    </row>
    <row r="421" spans="1:5" x14ac:dyDescent="0.25">
      <c r="A421" s="18">
        <v>1956</v>
      </c>
      <c r="B421" s="18" t="s">
        <v>29</v>
      </c>
      <c r="C421" s="18">
        <v>0</v>
      </c>
      <c r="D421" s="18">
        <v>0</v>
      </c>
      <c r="E421" s="18">
        <v>0</v>
      </c>
    </row>
    <row r="422" spans="1:5" x14ac:dyDescent="0.25">
      <c r="A422" s="18">
        <v>1957</v>
      </c>
      <c r="B422" s="18" t="s">
        <v>29</v>
      </c>
      <c r="C422" s="18">
        <v>0</v>
      </c>
      <c r="D422" s="18">
        <v>0</v>
      </c>
      <c r="E422" s="18">
        <v>0</v>
      </c>
    </row>
    <row r="423" spans="1:5" x14ac:dyDescent="0.25">
      <c r="A423" s="18">
        <v>1958</v>
      </c>
      <c r="B423" s="18" t="s">
        <v>29</v>
      </c>
      <c r="C423" s="18">
        <v>0</v>
      </c>
      <c r="D423" s="18">
        <v>0</v>
      </c>
      <c r="E423" s="18">
        <v>0</v>
      </c>
    </row>
    <row r="424" spans="1:5" x14ac:dyDescent="0.25">
      <c r="A424" s="18">
        <v>1959</v>
      </c>
      <c r="B424" s="18" t="s">
        <v>29</v>
      </c>
      <c r="C424" s="18">
        <v>0</v>
      </c>
      <c r="D424" s="18">
        <v>0</v>
      </c>
      <c r="E424" s="18">
        <v>0</v>
      </c>
    </row>
    <row r="425" spans="1:5" x14ac:dyDescent="0.25">
      <c r="A425" s="18">
        <v>1960</v>
      </c>
      <c r="B425" s="18" t="s">
        <v>29</v>
      </c>
      <c r="C425" s="18">
        <v>0</v>
      </c>
      <c r="D425" s="18">
        <v>0</v>
      </c>
      <c r="E425" s="18">
        <v>0</v>
      </c>
    </row>
    <row r="426" spans="1:5" x14ac:dyDescent="0.25">
      <c r="A426" s="18">
        <v>1961</v>
      </c>
      <c r="B426" s="18" t="s">
        <v>29</v>
      </c>
      <c r="C426" s="18">
        <v>0</v>
      </c>
      <c r="D426" s="18">
        <v>0</v>
      </c>
      <c r="E426" s="18">
        <v>0</v>
      </c>
    </row>
    <row r="427" spans="1:5" x14ac:dyDescent="0.25">
      <c r="A427" s="18">
        <v>1962</v>
      </c>
      <c r="B427" s="18" t="s">
        <v>29</v>
      </c>
      <c r="C427" s="18">
        <v>0</v>
      </c>
      <c r="D427" s="18">
        <v>0</v>
      </c>
      <c r="E427" s="18">
        <v>0</v>
      </c>
    </row>
    <row r="428" spans="1:5" x14ac:dyDescent="0.25">
      <c r="A428" s="18">
        <v>1963</v>
      </c>
      <c r="B428" s="18" t="s">
        <v>29</v>
      </c>
      <c r="C428" s="18">
        <v>0</v>
      </c>
      <c r="D428" s="18">
        <v>0</v>
      </c>
      <c r="E428" s="18">
        <v>0</v>
      </c>
    </row>
    <row r="429" spans="1:5" x14ac:dyDescent="0.25">
      <c r="A429" s="18">
        <v>1964</v>
      </c>
      <c r="B429" s="18" t="s">
        <v>29</v>
      </c>
      <c r="C429" s="18">
        <v>0</v>
      </c>
      <c r="D429" s="18">
        <v>0</v>
      </c>
      <c r="E429" s="18">
        <v>0</v>
      </c>
    </row>
    <row r="430" spans="1:5" x14ac:dyDescent="0.25">
      <c r="A430" s="18">
        <v>1965</v>
      </c>
      <c r="B430" s="18" t="s">
        <v>29</v>
      </c>
      <c r="C430" s="18">
        <v>0</v>
      </c>
      <c r="D430" s="18">
        <v>0</v>
      </c>
      <c r="E430" s="18">
        <v>0</v>
      </c>
    </row>
    <row r="431" spans="1:5" x14ac:dyDescent="0.25">
      <c r="A431" s="18">
        <v>1966</v>
      </c>
      <c r="B431" s="18" t="s">
        <v>29</v>
      </c>
      <c r="C431" s="18">
        <v>0</v>
      </c>
      <c r="D431" s="18">
        <v>0</v>
      </c>
      <c r="E431" s="18">
        <v>0</v>
      </c>
    </row>
    <row r="432" spans="1:5" x14ac:dyDescent="0.25">
      <c r="A432" s="18">
        <v>1967</v>
      </c>
      <c r="B432" s="18" t="s">
        <v>29</v>
      </c>
      <c r="C432" s="18">
        <v>0</v>
      </c>
      <c r="D432" s="18">
        <v>0</v>
      </c>
      <c r="E432" s="18">
        <v>0</v>
      </c>
    </row>
    <row r="433" spans="1:5" x14ac:dyDescent="0.25">
      <c r="A433" s="18">
        <v>1968</v>
      </c>
      <c r="B433" s="18" t="s">
        <v>29</v>
      </c>
      <c r="C433" s="18">
        <v>0</v>
      </c>
      <c r="D433" s="18">
        <v>0</v>
      </c>
      <c r="E433" s="18">
        <v>0</v>
      </c>
    </row>
    <row r="434" spans="1:5" x14ac:dyDescent="0.25">
      <c r="A434" s="18">
        <v>1969</v>
      </c>
      <c r="B434" s="18" t="s">
        <v>29</v>
      </c>
      <c r="C434" s="18">
        <v>0</v>
      </c>
      <c r="D434" s="18">
        <v>0</v>
      </c>
      <c r="E434" s="18">
        <v>0</v>
      </c>
    </row>
    <row r="435" spans="1:5" x14ac:dyDescent="0.25">
      <c r="A435" s="18">
        <v>1970</v>
      </c>
      <c r="B435" s="18" t="s">
        <v>29</v>
      </c>
      <c r="C435" s="18">
        <v>0</v>
      </c>
      <c r="D435" s="18">
        <v>0</v>
      </c>
      <c r="E435" s="18">
        <v>0</v>
      </c>
    </row>
    <row r="436" spans="1:5" x14ac:dyDescent="0.25">
      <c r="A436" s="18">
        <v>1971</v>
      </c>
      <c r="B436" s="18" t="s">
        <v>29</v>
      </c>
      <c r="C436" s="18">
        <v>0</v>
      </c>
      <c r="D436" s="18">
        <v>0</v>
      </c>
      <c r="E436" s="18">
        <v>0</v>
      </c>
    </row>
    <row r="437" spans="1:5" x14ac:dyDescent="0.25">
      <c r="A437" s="18">
        <v>1972</v>
      </c>
      <c r="B437" s="18" t="s">
        <v>29</v>
      </c>
      <c r="C437" s="18">
        <v>0</v>
      </c>
      <c r="D437" s="18">
        <v>0</v>
      </c>
      <c r="E437" s="18">
        <v>0</v>
      </c>
    </row>
    <row r="438" spans="1:5" x14ac:dyDescent="0.25">
      <c r="A438" s="18">
        <v>1973</v>
      </c>
      <c r="B438" s="18" t="s">
        <v>29</v>
      </c>
      <c r="C438" s="18">
        <v>0</v>
      </c>
      <c r="D438" s="18">
        <v>0</v>
      </c>
      <c r="E438" s="18">
        <v>0</v>
      </c>
    </row>
    <row r="439" spans="1:5" x14ac:dyDescent="0.25">
      <c r="A439" s="18">
        <v>1974</v>
      </c>
      <c r="B439" s="18" t="s">
        <v>29</v>
      </c>
      <c r="C439" s="18">
        <v>0</v>
      </c>
      <c r="D439" s="18">
        <v>0</v>
      </c>
      <c r="E439" s="18">
        <v>0</v>
      </c>
    </row>
    <row r="440" spans="1:5" x14ac:dyDescent="0.25">
      <c r="A440" s="18">
        <v>1975</v>
      </c>
      <c r="B440" s="18" t="s">
        <v>29</v>
      </c>
      <c r="C440" s="18">
        <v>1416</v>
      </c>
      <c r="D440" s="18">
        <v>763</v>
      </c>
      <c r="E440" s="18">
        <v>653</v>
      </c>
    </row>
    <row r="441" spans="1:5" x14ac:dyDescent="0.25">
      <c r="A441" s="18">
        <v>1976</v>
      </c>
      <c r="B441" s="18" t="s">
        <v>29</v>
      </c>
      <c r="C441" s="18">
        <v>0</v>
      </c>
      <c r="D441" s="18">
        <v>0</v>
      </c>
      <c r="E441" s="18">
        <v>0</v>
      </c>
    </row>
    <row r="442" spans="1:5" x14ac:dyDescent="0.25">
      <c r="A442" s="18">
        <v>1977</v>
      </c>
      <c r="B442" s="18" t="s">
        <v>29</v>
      </c>
      <c r="C442" s="18">
        <v>0</v>
      </c>
      <c r="D442" s="18">
        <v>0</v>
      </c>
      <c r="E442" s="18">
        <v>0</v>
      </c>
    </row>
    <row r="443" spans="1:5" x14ac:dyDescent="0.25">
      <c r="A443" s="18">
        <v>1978</v>
      </c>
      <c r="B443" s="18" t="s">
        <v>29</v>
      </c>
      <c r="C443" s="18">
        <v>0</v>
      </c>
      <c r="D443" s="18">
        <v>0</v>
      </c>
      <c r="E443" s="18">
        <v>0</v>
      </c>
    </row>
    <row r="444" spans="1:5" x14ac:dyDescent="0.25">
      <c r="A444" s="18">
        <v>1979</v>
      </c>
      <c r="B444" s="18" t="s">
        <v>29</v>
      </c>
      <c r="C444" s="18">
        <v>0</v>
      </c>
      <c r="D444" s="18">
        <v>0</v>
      </c>
      <c r="E444" s="18">
        <v>0</v>
      </c>
    </row>
    <row r="445" spans="1:5" x14ac:dyDescent="0.25">
      <c r="A445" s="18">
        <v>1980</v>
      </c>
      <c r="B445" s="18" t="s">
        <v>29</v>
      </c>
      <c r="C445" s="18">
        <v>2387</v>
      </c>
      <c r="D445" s="18">
        <v>1227</v>
      </c>
      <c r="E445" s="18">
        <v>1159</v>
      </c>
    </row>
    <row r="446" spans="1:5" x14ac:dyDescent="0.25">
      <c r="A446" s="18">
        <v>1981</v>
      </c>
      <c r="B446" s="18" t="s">
        <v>29</v>
      </c>
      <c r="C446" s="18">
        <v>0</v>
      </c>
      <c r="D446" s="18">
        <v>0</v>
      </c>
      <c r="E446" s="18">
        <v>0</v>
      </c>
    </row>
    <row r="447" spans="1:5" x14ac:dyDescent="0.25">
      <c r="A447" s="18">
        <v>1982</v>
      </c>
      <c r="B447" s="18" t="s">
        <v>29</v>
      </c>
      <c r="C447" s="18">
        <v>0</v>
      </c>
      <c r="D447" s="18">
        <v>0</v>
      </c>
      <c r="E447" s="18">
        <v>0</v>
      </c>
    </row>
    <row r="448" spans="1:5" x14ac:dyDescent="0.25">
      <c r="A448" s="18">
        <v>1983</v>
      </c>
      <c r="B448" s="18" t="s">
        <v>29</v>
      </c>
      <c r="C448" s="18">
        <v>0</v>
      </c>
      <c r="D448" s="18">
        <v>0</v>
      </c>
      <c r="E448" s="18">
        <v>0</v>
      </c>
    </row>
    <row r="449" spans="1:5" x14ac:dyDescent="0.25">
      <c r="A449" s="18">
        <v>1984</v>
      </c>
      <c r="B449" s="18" t="s">
        <v>29</v>
      </c>
      <c r="C449" s="18">
        <v>0</v>
      </c>
      <c r="D449" s="18">
        <v>0</v>
      </c>
      <c r="E449" s="18">
        <v>0</v>
      </c>
    </row>
    <row r="450" spans="1:5" x14ac:dyDescent="0.25">
      <c r="A450" s="18">
        <v>1985</v>
      </c>
      <c r="B450" s="18" t="s">
        <v>29</v>
      </c>
      <c r="C450" s="18">
        <v>2500</v>
      </c>
      <c r="D450" s="18">
        <v>1349</v>
      </c>
      <c r="E450" s="18">
        <v>1151</v>
      </c>
    </row>
    <row r="451" spans="1:5" x14ac:dyDescent="0.25">
      <c r="A451" s="18">
        <v>1986</v>
      </c>
      <c r="B451" s="18" t="s">
        <v>29</v>
      </c>
      <c r="C451" s="18">
        <v>0</v>
      </c>
      <c r="D451" s="18">
        <v>0</v>
      </c>
      <c r="E451" s="18">
        <v>0</v>
      </c>
    </row>
    <row r="452" spans="1:5" x14ac:dyDescent="0.25">
      <c r="A452" s="18">
        <v>1987</v>
      </c>
      <c r="B452" s="18" t="s">
        <v>29</v>
      </c>
      <c r="C452" s="18">
        <v>0</v>
      </c>
      <c r="D452" s="18">
        <v>0</v>
      </c>
      <c r="E452" s="18">
        <v>0</v>
      </c>
    </row>
    <row r="453" spans="1:5" x14ac:dyDescent="0.25">
      <c r="A453" s="18">
        <v>1988</v>
      </c>
      <c r="B453" s="18" t="s">
        <v>29</v>
      </c>
      <c r="C453" s="18">
        <v>0</v>
      </c>
      <c r="D453" s="18">
        <v>0</v>
      </c>
      <c r="E453" s="18">
        <v>0</v>
      </c>
    </row>
    <row r="454" spans="1:5" x14ac:dyDescent="0.25">
      <c r="A454" s="18">
        <v>1989</v>
      </c>
      <c r="B454" s="18" t="s">
        <v>29</v>
      </c>
      <c r="C454" s="18">
        <v>0</v>
      </c>
      <c r="D454" s="18">
        <v>0</v>
      </c>
      <c r="E454" s="18">
        <v>0</v>
      </c>
    </row>
    <row r="455" spans="1:5" x14ac:dyDescent="0.25">
      <c r="A455" s="18">
        <v>1990</v>
      </c>
      <c r="B455" s="18" t="s">
        <v>29</v>
      </c>
      <c r="C455" s="18">
        <v>3306</v>
      </c>
      <c r="D455" s="18">
        <v>1778</v>
      </c>
      <c r="E455" s="18">
        <v>1527</v>
      </c>
    </row>
    <row r="456" spans="1:5" x14ac:dyDescent="0.25">
      <c r="A456" s="18">
        <v>1991</v>
      </c>
      <c r="B456" s="18" t="s">
        <v>29</v>
      </c>
      <c r="C456" s="18">
        <v>0</v>
      </c>
      <c r="D456" s="18">
        <v>0</v>
      </c>
      <c r="E456" s="18">
        <v>0</v>
      </c>
    </row>
    <row r="457" spans="1:5" x14ac:dyDescent="0.25">
      <c r="A457" s="18">
        <v>1992</v>
      </c>
      <c r="B457" s="18" t="s">
        <v>29</v>
      </c>
      <c r="C457" s="18">
        <v>0</v>
      </c>
      <c r="D457" s="18">
        <v>0</v>
      </c>
      <c r="E457" s="18">
        <v>0</v>
      </c>
    </row>
    <row r="458" spans="1:5" x14ac:dyDescent="0.25">
      <c r="A458" s="18">
        <v>1993</v>
      </c>
      <c r="B458" s="18" t="s">
        <v>29</v>
      </c>
      <c r="C458" s="18">
        <v>0</v>
      </c>
      <c r="D458" s="18">
        <v>0</v>
      </c>
      <c r="E458" s="18">
        <v>0</v>
      </c>
    </row>
    <row r="459" spans="1:5" x14ac:dyDescent="0.25">
      <c r="A459" s="18">
        <v>1994</v>
      </c>
      <c r="B459" s="18" t="s">
        <v>29</v>
      </c>
      <c r="C459" s="18">
        <v>0</v>
      </c>
      <c r="D459" s="18">
        <v>0</v>
      </c>
      <c r="E459" s="18">
        <v>0</v>
      </c>
    </row>
    <row r="460" spans="1:5" x14ac:dyDescent="0.25">
      <c r="A460" s="18">
        <v>1995</v>
      </c>
      <c r="B460" s="18" t="s">
        <v>29</v>
      </c>
      <c r="C460" s="18">
        <v>0</v>
      </c>
      <c r="D460" s="18">
        <v>0</v>
      </c>
      <c r="E460" s="18">
        <v>0</v>
      </c>
    </row>
    <row r="461" spans="1:5" x14ac:dyDescent="0.25">
      <c r="A461" s="18">
        <v>1996</v>
      </c>
      <c r="B461" s="18" t="s">
        <v>29</v>
      </c>
      <c r="C461" s="18">
        <v>0</v>
      </c>
      <c r="D461" s="18">
        <v>0</v>
      </c>
      <c r="E461" s="18">
        <v>0</v>
      </c>
    </row>
    <row r="462" spans="1:5" x14ac:dyDescent="0.25">
      <c r="A462" s="18">
        <v>1997</v>
      </c>
      <c r="B462" s="18" t="s">
        <v>29</v>
      </c>
      <c r="C462" s="18">
        <v>0</v>
      </c>
      <c r="D462" s="18">
        <v>0</v>
      </c>
      <c r="E462" s="18">
        <v>0</v>
      </c>
    </row>
    <row r="463" spans="1:5" x14ac:dyDescent="0.25">
      <c r="A463" s="18">
        <v>1998</v>
      </c>
      <c r="B463" s="18" t="s">
        <v>29</v>
      </c>
      <c r="C463" s="18">
        <v>0</v>
      </c>
      <c r="D463" s="18">
        <v>0</v>
      </c>
      <c r="E463" s="18">
        <v>0</v>
      </c>
    </row>
    <row r="464" spans="1:5" x14ac:dyDescent="0.25">
      <c r="A464" s="18">
        <v>1999</v>
      </c>
      <c r="B464" s="18" t="s">
        <v>29</v>
      </c>
      <c r="C464" s="18">
        <v>0</v>
      </c>
      <c r="D464" s="18">
        <v>0</v>
      </c>
      <c r="E464" s="18">
        <v>0</v>
      </c>
    </row>
    <row r="465" spans="1:5" x14ac:dyDescent="0.25">
      <c r="A465" s="18">
        <v>2000</v>
      </c>
      <c r="B465" s="18" t="s">
        <v>29</v>
      </c>
      <c r="C465" s="18">
        <v>4981</v>
      </c>
      <c r="D465" s="18">
        <v>2643</v>
      </c>
      <c r="E465" s="18">
        <v>2337</v>
      </c>
    </row>
    <row r="466" spans="1:5" x14ac:dyDescent="0.25">
      <c r="A466" s="18">
        <v>2001</v>
      </c>
      <c r="B466" s="18" t="s">
        <v>29</v>
      </c>
      <c r="C466" s="18">
        <v>0</v>
      </c>
      <c r="D466" s="18">
        <v>0</v>
      </c>
      <c r="E466" s="18">
        <v>0</v>
      </c>
    </row>
    <row r="467" spans="1:5" x14ac:dyDescent="0.25">
      <c r="A467" s="18">
        <v>2002</v>
      </c>
      <c r="B467" s="18" t="s">
        <v>29</v>
      </c>
      <c r="C467" s="18">
        <v>0</v>
      </c>
      <c r="D467" s="18">
        <v>0</v>
      </c>
      <c r="E467" s="18">
        <v>0</v>
      </c>
    </row>
    <row r="468" spans="1:5" x14ac:dyDescent="0.25">
      <c r="A468" s="18">
        <v>2003</v>
      </c>
      <c r="B468" s="18" t="s">
        <v>29</v>
      </c>
      <c r="C468" s="18">
        <v>0</v>
      </c>
      <c r="D468" s="18">
        <v>0</v>
      </c>
      <c r="E468" s="18">
        <v>0</v>
      </c>
    </row>
    <row r="469" spans="1:5" x14ac:dyDescent="0.25">
      <c r="A469" s="18">
        <v>2004</v>
      </c>
      <c r="B469" s="18" t="s">
        <v>29</v>
      </c>
      <c r="C469" s="18">
        <v>0</v>
      </c>
      <c r="D469" s="18">
        <v>0</v>
      </c>
      <c r="E469" s="18">
        <v>0</v>
      </c>
    </row>
    <row r="470" spans="1:5" x14ac:dyDescent="0.25">
      <c r="A470" s="18">
        <v>2005</v>
      </c>
      <c r="B470" s="18" t="s">
        <v>29</v>
      </c>
      <c r="C470" s="18">
        <v>0</v>
      </c>
      <c r="D470" s="18">
        <v>0</v>
      </c>
      <c r="E470" s="18">
        <v>0</v>
      </c>
    </row>
    <row r="471" spans="1:5" x14ac:dyDescent="0.25">
      <c r="A471" s="18">
        <v>2006</v>
      </c>
      <c r="B471" s="18" t="s">
        <v>29</v>
      </c>
      <c r="C471" s="18">
        <v>0</v>
      </c>
      <c r="D471" s="18">
        <v>0</v>
      </c>
      <c r="E471" s="18">
        <v>0</v>
      </c>
    </row>
    <row r="472" spans="1:5" x14ac:dyDescent="0.25">
      <c r="A472" s="18">
        <v>2007</v>
      </c>
      <c r="B472" s="18" t="s">
        <v>29</v>
      </c>
      <c r="C472" s="18">
        <v>0</v>
      </c>
      <c r="D472" s="18">
        <v>0</v>
      </c>
      <c r="E472" s="18">
        <v>0</v>
      </c>
    </row>
    <row r="473" spans="1:5" x14ac:dyDescent="0.25">
      <c r="A473" s="18">
        <v>2008</v>
      </c>
      <c r="B473" s="18" t="s">
        <v>29</v>
      </c>
      <c r="C473" s="18">
        <v>0</v>
      </c>
      <c r="D473" s="18">
        <v>0</v>
      </c>
      <c r="E473" s="18">
        <v>0</v>
      </c>
    </row>
    <row r="474" spans="1:5" x14ac:dyDescent="0.25">
      <c r="A474" s="18">
        <v>1950</v>
      </c>
      <c r="B474" s="18" t="s">
        <v>32</v>
      </c>
      <c r="C474" s="18">
        <v>0</v>
      </c>
      <c r="D474" s="18">
        <v>0</v>
      </c>
      <c r="E474" s="18">
        <v>0</v>
      </c>
    </row>
    <row r="475" spans="1:5" x14ac:dyDescent="0.25">
      <c r="A475" s="18">
        <v>1951</v>
      </c>
      <c r="B475" s="18" t="s">
        <v>32</v>
      </c>
      <c r="C475" s="18">
        <v>0</v>
      </c>
      <c r="D475" s="18">
        <v>0</v>
      </c>
      <c r="E475" s="18">
        <v>0</v>
      </c>
    </row>
    <row r="476" spans="1:5" x14ac:dyDescent="0.25">
      <c r="A476" s="18">
        <v>1952</v>
      </c>
      <c r="B476" s="18" t="s">
        <v>32</v>
      </c>
      <c r="C476" s="18">
        <v>0</v>
      </c>
      <c r="D476" s="18">
        <v>0</v>
      </c>
      <c r="E476" s="18">
        <v>0</v>
      </c>
    </row>
    <row r="477" spans="1:5" x14ac:dyDescent="0.25">
      <c r="A477" s="18">
        <v>1953</v>
      </c>
      <c r="B477" s="18" t="s">
        <v>32</v>
      </c>
      <c r="C477" s="18">
        <v>0</v>
      </c>
      <c r="D477" s="18">
        <v>0</v>
      </c>
      <c r="E477" s="18">
        <v>0</v>
      </c>
    </row>
    <row r="478" spans="1:5" x14ac:dyDescent="0.25">
      <c r="A478" s="18">
        <v>1954</v>
      </c>
      <c r="B478" s="18" t="s">
        <v>32</v>
      </c>
      <c r="C478" s="18">
        <v>0</v>
      </c>
      <c r="D478" s="18">
        <v>0</v>
      </c>
      <c r="E478" s="18">
        <v>0</v>
      </c>
    </row>
    <row r="479" spans="1:5" x14ac:dyDescent="0.25">
      <c r="A479" s="18">
        <v>1955</v>
      </c>
      <c r="B479" s="18" t="s">
        <v>32</v>
      </c>
      <c r="C479" s="18">
        <v>0</v>
      </c>
      <c r="D479" s="18">
        <v>0</v>
      </c>
      <c r="E479" s="18">
        <v>0</v>
      </c>
    </row>
    <row r="480" spans="1:5" x14ac:dyDescent="0.25">
      <c r="A480" s="18">
        <v>1956</v>
      </c>
      <c r="B480" s="18" t="s">
        <v>32</v>
      </c>
      <c r="C480" s="18">
        <v>0</v>
      </c>
      <c r="D480" s="18">
        <v>0</v>
      </c>
      <c r="E480" s="18">
        <v>0</v>
      </c>
    </row>
    <row r="481" spans="1:5" x14ac:dyDescent="0.25">
      <c r="A481" s="18">
        <v>1957</v>
      </c>
      <c r="B481" s="18" t="s">
        <v>32</v>
      </c>
      <c r="C481" s="18">
        <v>0</v>
      </c>
      <c r="D481" s="18">
        <v>0</v>
      </c>
      <c r="E481" s="18">
        <v>0</v>
      </c>
    </row>
    <row r="482" spans="1:5" x14ac:dyDescent="0.25">
      <c r="A482" s="18">
        <v>1958</v>
      </c>
      <c r="B482" s="18" t="s">
        <v>32</v>
      </c>
      <c r="C482" s="18">
        <v>0</v>
      </c>
      <c r="D482" s="18">
        <v>0</v>
      </c>
      <c r="E482" s="18">
        <v>0</v>
      </c>
    </row>
    <row r="483" spans="1:5" x14ac:dyDescent="0.25">
      <c r="A483" s="18">
        <v>1959</v>
      </c>
      <c r="B483" s="18" t="s">
        <v>32</v>
      </c>
      <c r="C483" s="18">
        <v>0</v>
      </c>
      <c r="D483" s="18">
        <v>0</v>
      </c>
      <c r="E483" s="18">
        <v>0</v>
      </c>
    </row>
    <row r="484" spans="1:5" x14ac:dyDescent="0.25">
      <c r="A484" s="18">
        <v>1960</v>
      </c>
      <c r="B484" s="18" t="s">
        <v>32</v>
      </c>
      <c r="C484" s="18">
        <v>0</v>
      </c>
      <c r="D484" s="18">
        <v>0</v>
      </c>
      <c r="E484" s="18">
        <v>0</v>
      </c>
    </row>
    <row r="485" spans="1:5" x14ac:dyDescent="0.25">
      <c r="A485" s="18">
        <v>1961</v>
      </c>
      <c r="B485" s="18" t="s">
        <v>32</v>
      </c>
      <c r="C485" s="18">
        <v>0</v>
      </c>
      <c r="D485" s="18">
        <v>0</v>
      </c>
      <c r="E485" s="18">
        <v>0</v>
      </c>
    </row>
    <row r="486" spans="1:5" x14ac:dyDescent="0.25">
      <c r="A486" s="18">
        <v>1962</v>
      </c>
      <c r="B486" s="18" t="s">
        <v>32</v>
      </c>
      <c r="C486" s="18">
        <v>0</v>
      </c>
      <c r="D486" s="18">
        <v>0</v>
      </c>
      <c r="E486" s="18">
        <v>0</v>
      </c>
    </row>
    <row r="487" spans="1:5" x14ac:dyDescent="0.25">
      <c r="A487" s="18">
        <v>1963</v>
      </c>
      <c r="B487" s="18" t="s">
        <v>32</v>
      </c>
      <c r="C487" s="18">
        <v>0</v>
      </c>
      <c r="D487" s="18">
        <v>0</v>
      </c>
      <c r="E487" s="18">
        <v>0</v>
      </c>
    </row>
    <row r="488" spans="1:5" x14ac:dyDescent="0.25">
      <c r="A488" s="18">
        <v>1964</v>
      </c>
      <c r="B488" s="18" t="s">
        <v>32</v>
      </c>
      <c r="C488" s="18">
        <v>0</v>
      </c>
      <c r="D488" s="18">
        <v>0</v>
      </c>
      <c r="E488" s="18">
        <v>0</v>
      </c>
    </row>
    <row r="489" spans="1:5" x14ac:dyDescent="0.25">
      <c r="A489" s="18">
        <v>1965</v>
      </c>
      <c r="B489" s="18" t="s">
        <v>32</v>
      </c>
      <c r="C489" s="18">
        <v>0</v>
      </c>
      <c r="D489" s="18">
        <v>0</v>
      </c>
      <c r="E489" s="18">
        <v>0</v>
      </c>
    </row>
    <row r="490" spans="1:5" x14ac:dyDescent="0.25">
      <c r="A490" s="18">
        <v>1966</v>
      </c>
      <c r="B490" s="18" t="s">
        <v>32</v>
      </c>
      <c r="C490" s="18">
        <v>0</v>
      </c>
      <c r="D490" s="18">
        <v>0</v>
      </c>
      <c r="E490" s="18">
        <v>0</v>
      </c>
    </row>
    <row r="491" spans="1:5" x14ac:dyDescent="0.25">
      <c r="A491" s="18">
        <v>1967</v>
      </c>
      <c r="B491" s="18" t="s">
        <v>32</v>
      </c>
      <c r="C491" s="18">
        <v>0</v>
      </c>
      <c r="D491" s="18">
        <v>0</v>
      </c>
      <c r="E491" s="18">
        <v>0</v>
      </c>
    </row>
    <row r="492" spans="1:5" x14ac:dyDescent="0.25">
      <c r="A492" s="18">
        <v>1968</v>
      </c>
      <c r="B492" s="18" t="s">
        <v>32</v>
      </c>
      <c r="C492" s="18">
        <v>0</v>
      </c>
      <c r="D492" s="18">
        <v>0</v>
      </c>
      <c r="E492" s="18">
        <v>0</v>
      </c>
    </row>
    <row r="493" spans="1:5" x14ac:dyDescent="0.25">
      <c r="A493" s="18">
        <v>1969</v>
      </c>
      <c r="B493" s="18" t="s">
        <v>32</v>
      </c>
      <c r="C493" s="18">
        <v>0</v>
      </c>
      <c r="D493" s="18">
        <v>0</v>
      </c>
      <c r="E493" s="18">
        <v>0</v>
      </c>
    </row>
    <row r="494" spans="1:5" x14ac:dyDescent="0.25">
      <c r="A494" s="18">
        <v>1970</v>
      </c>
      <c r="B494" s="18" t="s">
        <v>32</v>
      </c>
      <c r="C494" s="18">
        <v>8899</v>
      </c>
      <c r="D494" s="18">
        <v>4444</v>
      </c>
      <c r="E494" s="18">
        <v>4455</v>
      </c>
    </row>
    <row r="495" spans="1:5" x14ac:dyDescent="0.25">
      <c r="A495" s="18">
        <v>1971</v>
      </c>
      <c r="B495" s="18" t="s">
        <v>32</v>
      </c>
      <c r="C495" s="18">
        <v>0</v>
      </c>
      <c r="D495" s="18">
        <v>0</v>
      </c>
      <c r="E495" s="18">
        <v>0</v>
      </c>
    </row>
    <row r="496" spans="1:5" x14ac:dyDescent="0.25">
      <c r="A496" s="18">
        <v>1972</v>
      </c>
      <c r="B496" s="18" t="s">
        <v>32</v>
      </c>
      <c r="C496" s="18">
        <v>0</v>
      </c>
      <c r="D496" s="18">
        <v>0</v>
      </c>
      <c r="E496" s="18">
        <v>0</v>
      </c>
    </row>
    <row r="497" spans="1:7" x14ac:dyDescent="0.25">
      <c r="A497" s="18">
        <v>1973</v>
      </c>
      <c r="B497" s="18" t="s">
        <v>32</v>
      </c>
      <c r="C497" s="18">
        <v>0</v>
      </c>
      <c r="D497" s="18">
        <v>0</v>
      </c>
      <c r="E497" s="18">
        <v>0</v>
      </c>
    </row>
    <row r="498" spans="1:7" x14ac:dyDescent="0.25">
      <c r="A498" s="18">
        <v>1974</v>
      </c>
      <c r="B498" s="18" t="s">
        <v>32</v>
      </c>
      <c r="C498" s="18">
        <v>0</v>
      </c>
      <c r="D498" s="18">
        <v>0</v>
      </c>
      <c r="E498" s="18">
        <v>0</v>
      </c>
    </row>
    <row r="499" spans="1:7" x14ac:dyDescent="0.25">
      <c r="A499" s="18">
        <v>1975</v>
      </c>
      <c r="B499" s="18" t="s">
        <v>32</v>
      </c>
      <c r="C499" s="18">
        <v>12717</v>
      </c>
      <c r="D499" s="18">
        <v>6618</v>
      </c>
      <c r="E499" s="18">
        <v>6099</v>
      </c>
      <c r="F499" s="17">
        <f>(C499-C494)/C494/5</f>
        <v>8.5807394089223513E-2</v>
      </c>
      <c r="G499" s="17">
        <f>(D499-D494)/D494/5</f>
        <v>9.7839783978397848E-2</v>
      </c>
    </row>
    <row r="500" spans="1:7" x14ac:dyDescent="0.25">
      <c r="A500" s="18">
        <v>1976</v>
      </c>
      <c r="B500" s="18" t="s">
        <v>32</v>
      </c>
      <c r="C500" s="18">
        <v>0</v>
      </c>
      <c r="D500" s="18">
        <v>0</v>
      </c>
      <c r="E500" s="18">
        <v>0</v>
      </c>
    </row>
    <row r="501" spans="1:7" x14ac:dyDescent="0.25">
      <c r="A501" s="18">
        <v>1977</v>
      </c>
      <c r="B501" s="18" t="s">
        <v>32</v>
      </c>
      <c r="C501" s="18">
        <v>0</v>
      </c>
      <c r="D501" s="18">
        <v>0</v>
      </c>
      <c r="E501" s="18">
        <v>0</v>
      </c>
    </row>
    <row r="502" spans="1:7" x14ac:dyDescent="0.25">
      <c r="A502" s="18">
        <v>1978</v>
      </c>
      <c r="B502" s="18" t="s">
        <v>32</v>
      </c>
      <c r="C502" s="18">
        <v>0</v>
      </c>
      <c r="D502" s="18">
        <v>0</v>
      </c>
      <c r="E502" s="18">
        <v>0</v>
      </c>
    </row>
    <row r="503" spans="1:7" x14ac:dyDescent="0.25">
      <c r="A503" s="18">
        <v>1979</v>
      </c>
      <c r="B503" s="18" t="s">
        <v>32</v>
      </c>
      <c r="C503" s="18">
        <v>0</v>
      </c>
      <c r="D503" s="18">
        <v>0</v>
      </c>
      <c r="E503" s="18">
        <v>0</v>
      </c>
    </row>
    <row r="504" spans="1:7" x14ac:dyDescent="0.25">
      <c r="A504" s="18">
        <v>1980</v>
      </c>
      <c r="B504" s="18" t="s">
        <v>32</v>
      </c>
      <c r="C504" s="18">
        <v>14188</v>
      </c>
      <c r="D504" s="18">
        <v>7288</v>
      </c>
      <c r="E504" s="18">
        <v>6900</v>
      </c>
      <c r="F504" s="17">
        <f>(C504-C499)/C499/5</f>
        <v>2.3134387040968783E-2</v>
      </c>
      <c r="G504" s="17">
        <f>(D504-D499)/D499/5</f>
        <v>2.0247809005741916E-2</v>
      </c>
    </row>
    <row r="505" spans="1:7" x14ac:dyDescent="0.25">
      <c r="A505" s="18">
        <v>1981</v>
      </c>
      <c r="B505" s="18" t="s">
        <v>32</v>
      </c>
      <c r="C505" s="18">
        <v>0</v>
      </c>
      <c r="D505" s="18">
        <v>0</v>
      </c>
      <c r="E505" s="18">
        <v>0</v>
      </c>
    </row>
    <row r="506" spans="1:7" x14ac:dyDescent="0.25">
      <c r="A506" s="18">
        <v>1982</v>
      </c>
      <c r="B506" s="18" t="s">
        <v>32</v>
      </c>
      <c r="C506" s="18">
        <v>0</v>
      </c>
      <c r="D506" s="18">
        <v>0</v>
      </c>
      <c r="E506" s="18">
        <v>0</v>
      </c>
    </row>
    <row r="507" spans="1:7" x14ac:dyDescent="0.25">
      <c r="A507" s="18">
        <v>1983</v>
      </c>
      <c r="B507" s="18" t="s">
        <v>32</v>
      </c>
      <c r="C507" s="18">
        <v>0</v>
      </c>
      <c r="D507" s="18">
        <v>0</v>
      </c>
      <c r="E507" s="18">
        <v>0</v>
      </c>
    </row>
    <row r="508" spans="1:7" x14ac:dyDescent="0.25">
      <c r="A508" s="18">
        <v>1984</v>
      </c>
      <c r="B508" s="18" t="s">
        <v>32</v>
      </c>
      <c r="C508" s="18">
        <v>0</v>
      </c>
      <c r="D508" s="18">
        <v>0</v>
      </c>
      <c r="E508" s="18">
        <v>0</v>
      </c>
    </row>
    <row r="509" spans="1:7" x14ac:dyDescent="0.25">
      <c r="A509" s="18">
        <v>1985</v>
      </c>
      <c r="B509" s="18" t="s">
        <v>32</v>
      </c>
      <c r="C509" s="18">
        <v>14851</v>
      </c>
      <c r="D509" s="18">
        <v>7608</v>
      </c>
      <c r="E509" s="18">
        <v>7244</v>
      </c>
      <c r="F509" s="17">
        <f>(C509-C504)/C504/5</f>
        <v>9.3459261347617704E-3</v>
      </c>
      <c r="G509" s="17">
        <f>(D509-D504)/D504/5</f>
        <v>8.7815587266739849E-3</v>
      </c>
    </row>
    <row r="510" spans="1:7" x14ac:dyDescent="0.25">
      <c r="A510" s="18">
        <v>1986</v>
      </c>
      <c r="B510" s="18" t="s">
        <v>32</v>
      </c>
      <c r="C510" s="18">
        <v>0</v>
      </c>
      <c r="D510" s="18">
        <v>0</v>
      </c>
      <c r="E510" s="18">
        <v>0</v>
      </c>
    </row>
    <row r="511" spans="1:7" x14ac:dyDescent="0.25">
      <c r="A511" s="18">
        <v>1987</v>
      </c>
      <c r="B511" s="18" t="s">
        <v>32</v>
      </c>
      <c r="C511" s="18">
        <v>0</v>
      </c>
      <c r="D511" s="18">
        <v>0</v>
      </c>
      <c r="E511" s="18">
        <v>0</v>
      </c>
    </row>
    <row r="512" spans="1:7" x14ac:dyDescent="0.25">
      <c r="A512" s="18">
        <v>1988</v>
      </c>
      <c r="B512" s="18" t="s">
        <v>32</v>
      </c>
      <c r="C512" s="18">
        <v>0</v>
      </c>
      <c r="D512" s="18">
        <v>0</v>
      </c>
      <c r="E512" s="18">
        <v>0</v>
      </c>
    </row>
    <row r="513" spans="1:9" x14ac:dyDescent="0.25">
      <c r="A513" s="18">
        <v>1989</v>
      </c>
      <c r="B513" s="18" t="s">
        <v>32</v>
      </c>
      <c r="C513" s="18">
        <v>0</v>
      </c>
      <c r="D513" s="18">
        <v>0</v>
      </c>
      <c r="E513" s="18">
        <v>0</v>
      </c>
    </row>
    <row r="514" spans="1:9" x14ac:dyDescent="0.25">
      <c r="A514" s="18">
        <v>1990</v>
      </c>
      <c r="B514" s="18" t="s">
        <v>32</v>
      </c>
      <c r="C514" s="18">
        <v>21287</v>
      </c>
      <c r="D514" s="18">
        <v>10829</v>
      </c>
      <c r="E514" s="18">
        <v>10458</v>
      </c>
      <c r="F514" s="17">
        <f>(C514-C509)/C509/5</f>
        <v>8.6674298027068886E-2</v>
      </c>
      <c r="G514" s="17">
        <f>(D514-D509)/D509/5</f>
        <v>8.467402733964248E-2</v>
      </c>
    </row>
    <row r="515" spans="1:9" x14ac:dyDescent="0.25">
      <c r="A515" s="18">
        <v>1991</v>
      </c>
      <c r="B515" s="18" t="s">
        <v>32</v>
      </c>
      <c r="C515" s="18">
        <v>0</v>
      </c>
      <c r="D515" s="18">
        <v>0</v>
      </c>
      <c r="E515" s="18">
        <v>0</v>
      </c>
    </row>
    <row r="516" spans="1:9" x14ac:dyDescent="0.25">
      <c r="A516" s="18">
        <v>1992</v>
      </c>
      <c r="B516" s="18" t="s">
        <v>32</v>
      </c>
      <c r="C516" s="18">
        <v>0</v>
      </c>
      <c r="D516" s="18">
        <v>0</v>
      </c>
      <c r="E516" s="18">
        <v>0</v>
      </c>
    </row>
    <row r="517" spans="1:9" x14ac:dyDescent="0.25">
      <c r="A517" s="18">
        <v>1993</v>
      </c>
      <c r="B517" s="18" t="s">
        <v>32</v>
      </c>
      <c r="C517" s="18">
        <v>0</v>
      </c>
      <c r="D517" s="18">
        <v>0</v>
      </c>
      <c r="E517" s="18">
        <v>0</v>
      </c>
    </row>
    <row r="518" spans="1:9" x14ac:dyDescent="0.25">
      <c r="A518" s="18">
        <v>1994</v>
      </c>
      <c r="B518" s="18" t="s">
        <v>32</v>
      </c>
      <c r="C518" s="18">
        <v>0</v>
      </c>
      <c r="D518" s="18">
        <v>0</v>
      </c>
      <c r="E518" s="18">
        <v>0</v>
      </c>
    </row>
    <row r="519" spans="1:9" x14ac:dyDescent="0.25">
      <c r="A519" s="18">
        <v>1995</v>
      </c>
      <c r="B519" s="18" t="s">
        <v>32</v>
      </c>
      <c r="C519" s="18">
        <v>0</v>
      </c>
      <c r="D519" s="18">
        <v>0</v>
      </c>
      <c r="E519" s="18">
        <v>0</v>
      </c>
    </row>
    <row r="520" spans="1:9" x14ac:dyDescent="0.25">
      <c r="A520" s="18">
        <v>1996</v>
      </c>
      <c r="B520" s="18" t="s">
        <v>32</v>
      </c>
      <c r="C520" s="18">
        <v>0</v>
      </c>
      <c r="D520" s="18">
        <v>0</v>
      </c>
      <c r="E520" s="18">
        <v>0</v>
      </c>
    </row>
    <row r="521" spans="1:9" x14ac:dyDescent="0.25">
      <c r="A521" s="18">
        <v>1997</v>
      </c>
      <c r="B521" s="18" t="s">
        <v>32</v>
      </c>
      <c r="C521" s="18">
        <v>0</v>
      </c>
      <c r="D521" s="18">
        <v>0</v>
      </c>
      <c r="E521" s="18">
        <v>0</v>
      </c>
    </row>
    <row r="522" spans="1:9" x14ac:dyDescent="0.25">
      <c r="A522" s="18">
        <v>1998</v>
      </c>
      <c r="B522" s="18" t="s">
        <v>32</v>
      </c>
      <c r="C522" s="18">
        <v>0</v>
      </c>
      <c r="D522" s="18">
        <v>0</v>
      </c>
      <c r="E522" s="18">
        <v>0</v>
      </c>
    </row>
    <row r="523" spans="1:9" x14ac:dyDescent="0.25">
      <c r="A523" s="18">
        <v>1999</v>
      </c>
      <c r="B523" s="18" t="s">
        <v>32</v>
      </c>
      <c r="C523" s="18">
        <v>0</v>
      </c>
      <c r="D523" s="18">
        <v>0</v>
      </c>
      <c r="E523" s="18">
        <v>0</v>
      </c>
    </row>
    <row r="524" spans="1:9" x14ac:dyDescent="0.25">
      <c r="A524" s="18">
        <v>2000</v>
      </c>
      <c r="B524" s="18" t="s">
        <v>32</v>
      </c>
      <c r="C524" s="18">
        <v>26504</v>
      </c>
      <c r="D524" s="18">
        <v>13716</v>
      </c>
      <c r="E524" s="18">
        <v>12787</v>
      </c>
      <c r="F524" s="17">
        <f>(C524-C514)/C514/10</f>
        <v>2.4507915629257294E-2</v>
      </c>
      <c r="G524" s="17">
        <f>(D524-D514)/D514/10</f>
        <v>2.665989472712162E-2</v>
      </c>
      <c r="H524" s="17">
        <f>AVERAGE(F499,F504,F509,F514,F524)</f>
        <v>4.5893984184256054E-2</v>
      </c>
      <c r="I524" s="17">
        <f>AVERAGE(G499,G504,G509,G514,G524)</f>
        <v>4.7640614755515572E-2</v>
      </c>
    </row>
    <row r="525" spans="1:9" x14ac:dyDescent="0.25">
      <c r="A525" s="18">
        <v>2001</v>
      </c>
      <c r="B525" s="18" t="s">
        <v>32</v>
      </c>
      <c r="C525" s="18">
        <v>0</v>
      </c>
      <c r="D525" s="18">
        <v>0</v>
      </c>
      <c r="E525" s="18">
        <v>0</v>
      </c>
    </row>
    <row r="526" spans="1:9" x14ac:dyDescent="0.25">
      <c r="A526" s="18">
        <v>2002</v>
      </c>
      <c r="B526" s="18" t="s">
        <v>32</v>
      </c>
      <c r="C526" s="18">
        <v>0</v>
      </c>
      <c r="D526" s="18">
        <v>0</v>
      </c>
      <c r="E526" s="18">
        <v>0</v>
      </c>
    </row>
    <row r="527" spans="1:9" x14ac:dyDescent="0.25">
      <c r="A527" s="18">
        <v>2003</v>
      </c>
      <c r="B527" s="18" t="s">
        <v>32</v>
      </c>
      <c r="C527" s="18">
        <v>0</v>
      </c>
      <c r="D527" s="18">
        <v>0</v>
      </c>
      <c r="E527" s="18">
        <v>0</v>
      </c>
    </row>
    <row r="528" spans="1:9" x14ac:dyDescent="0.25">
      <c r="A528" s="18">
        <v>2004</v>
      </c>
      <c r="B528" s="18" t="s">
        <v>32</v>
      </c>
      <c r="C528" s="18">
        <v>0</v>
      </c>
      <c r="D528" s="18">
        <v>0</v>
      </c>
      <c r="E528" s="18">
        <v>0</v>
      </c>
    </row>
    <row r="529" spans="1:5" x14ac:dyDescent="0.25">
      <c r="A529" s="18">
        <v>2005</v>
      </c>
      <c r="B529" s="18" t="s">
        <v>32</v>
      </c>
      <c r="C529" s="18">
        <v>0</v>
      </c>
      <c r="D529" s="18">
        <v>0</v>
      </c>
      <c r="E529" s="18">
        <v>0</v>
      </c>
    </row>
    <row r="530" spans="1:5" x14ac:dyDescent="0.25">
      <c r="A530" s="18">
        <v>2006</v>
      </c>
      <c r="B530" s="18" t="s">
        <v>32</v>
      </c>
      <c r="C530" s="18">
        <v>0</v>
      </c>
      <c r="D530" s="18">
        <v>0</v>
      </c>
      <c r="E530" s="18">
        <v>0</v>
      </c>
    </row>
    <row r="531" spans="1:5" x14ac:dyDescent="0.25">
      <c r="A531" s="18">
        <v>2007</v>
      </c>
      <c r="B531" s="18" t="s">
        <v>32</v>
      </c>
      <c r="C531" s="18">
        <v>0</v>
      </c>
      <c r="D531" s="18">
        <v>0</v>
      </c>
      <c r="E531" s="18">
        <v>0</v>
      </c>
    </row>
    <row r="532" spans="1:5" x14ac:dyDescent="0.25">
      <c r="A532" s="18">
        <v>2008</v>
      </c>
      <c r="B532" s="18" t="s">
        <v>32</v>
      </c>
      <c r="C532" s="18">
        <v>0</v>
      </c>
      <c r="D532" s="18">
        <v>0</v>
      </c>
      <c r="E532" s="18">
        <v>0</v>
      </c>
    </row>
    <row r="533" spans="1:5" x14ac:dyDescent="0.25">
      <c r="A533" s="18">
        <v>1950</v>
      </c>
      <c r="B533" s="18" t="s">
        <v>34</v>
      </c>
      <c r="C533" s="18">
        <v>0</v>
      </c>
      <c r="D533" s="18">
        <v>0</v>
      </c>
      <c r="E533" s="18">
        <v>0</v>
      </c>
    </row>
    <row r="534" spans="1:5" x14ac:dyDescent="0.25">
      <c r="A534" s="18">
        <v>1951</v>
      </c>
      <c r="B534" s="18" t="s">
        <v>34</v>
      </c>
      <c r="C534" s="18">
        <v>0</v>
      </c>
      <c r="D534" s="18">
        <v>0</v>
      </c>
      <c r="E534" s="18">
        <v>0</v>
      </c>
    </row>
    <row r="535" spans="1:5" x14ac:dyDescent="0.25">
      <c r="A535" s="18">
        <v>1952</v>
      </c>
      <c r="B535" s="18" t="s">
        <v>34</v>
      </c>
      <c r="C535" s="18">
        <v>0</v>
      </c>
      <c r="D535" s="18">
        <v>0</v>
      </c>
      <c r="E535" s="18">
        <v>0</v>
      </c>
    </row>
    <row r="536" spans="1:5" x14ac:dyDescent="0.25">
      <c r="A536" s="18">
        <v>1953</v>
      </c>
      <c r="B536" s="18" t="s">
        <v>34</v>
      </c>
      <c r="C536" s="18">
        <v>0</v>
      </c>
      <c r="D536" s="18">
        <v>0</v>
      </c>
      <c r="E536" s="18">
        <v>0</v>
      </c>
    </row>
    <row r="537" spans="1:5" x14ac:dyDescent="0.25">
      <c r="A537" s="18">
        <v>1954</v>
      </c>
      <c r="B537" s="18" t="s">
        <v>34</v>
      </c>
      <c r="C537" s="18">
        <v>0</v>
      </c>
      <c r="D537" s="18">
        <v>0</v>
      </c>
      <c r="E537" s="18">
        <v>0</v>
      </c>
    </row>
    <row r="538" spans="1:5" x14ac:dyDescent="0.25">
      <c r="A538" s="18">
        <v>1955</v>
      </c>
      <c r="B538" s="18" t="s">
        <v>34</v>
      </c>
      <c r="C538" s="18">
        <v>0</v>
      </c>
      <c r="D538" s="18">
        <v>0</v>
      </c>
      <c r="E538" s="18">
        <v>0</v>
      </c>
    </row>
    <row r="539" spans="1:5" x14ac:dyDescent="0.25">
      <c r="A539" s="18">
        <v>1956</v>
      </c>
      <c r="B539" s="18" t="s">
        <v>34</v>
      </c>
      <c r="C539" s="18">
        <v>0</v>
      </c>
      <c r="D539" s="18">
        <v>0</v>
      </c>
      <c r="E539" s="18">
        <v>0</v>
      </c>
    </row>
    <row r="540" spans="1:5" x14ac:dyDescent="0.25">
      <c r="A540" s="18">
        <v>1957</v>
      </c>
      <c r="B540" s="18" t="s">
        <v>34</v>
      </c>
      <c r="C540" s="18">
        <v>0</v>
      </c>
      <c r="D540" s="18">
        <v>0</v>
      </c>
      <c r="E540" s="18">
        <v>0</v>
      </c>
    </row>
    <row r="541" spans="1:5" x14ac:dyDescent="0.25">
      <c r="A541" s="18">
        <v>1958</v>
      </c>
      <c r="B541" s="18" t="s">
        <v>34</v>
      </c>
      <c r="C541" s="18">
        <v>0</v>
      </c>
      <c r="D541" s="18">
        <v>0</v>
      </c>
      <c r="E541" s="18">
        <v>0</v>
      </c>
    </row>
    <row r="542" spans="1:5" x14ac:dyDescent="0.25">
      <c r="A542" s="18">
        <v>1959</v>
      </c>
      <c r="B542" s="18" t="s">
        <v>34</v>
      </c>
      <c r="C542" s="18">
        <v>0</v>
      </c>
      <c r="D542" s="18">
        <v>0</v>
      </c>
      <c r="E542" s="18">
        <v>0</v>
      </c>
    </row>
    <row r="543" spans="1:5" x14ac:dyDescent="0.25">
      <c r="A543" s="18">
        <v>1960</v>
      </c>
      <c r="B543" s="18" t="s">
        <v>34</v>
      </c>
      <c r="C543" s="18">
        <v>0</v>
      </c>
      <c r="D543" s="18">
        <v>0</v>
      </c>
      <c r="E543" s="18">
        <v>0</v>
      </c>
    </row>
    <row r="544" spans="1:5" x14ac:dyDescent="0.25">
      <c r="A544" s="18">
        <v>1961</v>
      </c>
      <c r="B544" s="18" t="s">
        <v>34</v>
      </c>
      <c r="C544" s="18">
        <v>0</v>
      </c>
      <c r="D544" s="18">
        <v>0</v>
      </c>
      <c r="E544" s="18">
        <v>0</v>
      </c>
    </row>
    <row r="545" spans="1:5" x14ac:dyDescent="0.25">
      <c r="A545" s="18">
        <v>1962</v>
      </c>
      <c r="B545" s="18" t="s">
        <v>34</v>
      </c>
      <c r="C545" s="18">
        <v>0</v>
      </c>
      <c r="D545" s="18">
        <v>0</v>
      </c>
      <c r="E545" s="18">
        <v>0</v>
      </c>
    </row>
    <row r="546" spans="1:5" x14ac:dyDescent="0.25">
      <c r="A546" s="18">
        <v>1963</v>
      </c>
      <c r="B546" s="18" t="s">
        <v>34</v>
      </c>
      <c r="C546" s="18">
        <v>0</v>
      </c>
      <c r="D546" s="18">
        <v>0</v>
      </c>
      <c r="E546" s="18">
        <v>0</v>
      </c>
    </row>
    <row r="547" spans="1:5" x14ac:dyDescent="0.25">
      <c r="A547" s="18">
        <v>1964</v>
      </c>
      <c r="B547" s="18" t="s">
        <v>34</v>
      </c>
      <c r="C547" s="18">
        <v>0</v>
      </c>
      <c r="D547" s="18">
        <v>0</v>
      </c>
      <c r="E547" s="18">
        <v>0</v>
      </c>
    </row>
    <row r="548" spans="1:5" x14ac:dyDescent="0.25">
      <c r="A548" s="18">
        <v>1965</v>
      </c>
      <c r="B548" s="18" t="s">
        <v>34</v>
      </c>
      <c r="C548" s="18">
        <v>0</v>
      </c>
      <c r="D548" s="18">
        <v>0</v>
      </c>
      <c r="E548" s="18">
        <v>0</v>
      </c>
    </row>
    <row r="549" spans="1:5" x14ac:dyDescent="0.25">
      <c r="A549" s="18">
        <v>1966</v>
      </c>
      <c r="B549" s="18" t="s">
        <v>34</v>
      </c>
      <c r="C549" s="18">
        <v>0</v>
      </c>
      <c r="D549" s="18">
        <v>0</v>
      </c>
      <c r="E549" s="18">
        <v>0</v>
      </c>
    </row>
    <row r="550" spans="1:5" x14ac:dyDescent="0.25">
      <c r="A550" s="18">
        <v>1967</v>
      </c>
      <c r="B550" s="18" t="s">
        <v>34</v>
      </c>
      <c r="C550" s="18">
        <v>0</v>
      </c>
      <c r="D550" s="18">
        <v>0</v>
      </c>
      <c r="E550" s="18">
        <v>0</v>
      </c>
    </row>
    <row r="551" spans="1:5" x14ac:dyDescent="0.25">
      <c r="A551" s="18">
        <v>1968</v>
      </c>
      <c r="B551" s="18" t="s">
        <v>34</v>
      </c>
      <c r="C551" s="18">
        <v>0</v>
      </c>
      <c r="D551" s="18">
        <v>0</v>
      </c>
      <c r="E551" s="18">
        <v>0</v>
      </c>
    </row>
    <row r="552" spans="1:5" x14ac:dyDescent="0.25">
      <c r="A552" s="18">
        <v>1969</v>
      </c>
      <c r="B552" s="18" t="s">
        <v>34</v>
      </c>
      <c r="C552" s="18">
        <v>0</v>
      </c>
      <c r="D552" s="18">
        <v>0</v>
      </c>
      <c r="E552" s="18">
        <v>0</v>
      </c>
    </row>
    <row r="553" spans="1:5" x14ac:dyDescent="0.25">
      <c r="A553" s="18">
        <v>1970</v>
      </c>
      <c r="B553" s="18" t="s">
        <v>34</v>
      </c>
      <c r="C553" s="18">
        <v>0</v>
      </c>
      <c r="D553" s="18">
        <v>0</v>
      </c>
      <c r="E553" s="18">
        <v>0</v>
      </c>
    </row>
    <row r="554" spans="1:5" x14ac:dyDescent="0.25">
      <c r="A554" s="18">
        <v>1971</v>
      </c>
      <c r="B554" s="18" t="s">
        <v>34</v>
      </c>
      <c r="C554" s="18">
        <v>0</v>
      </c>
      <c r="D554" s="18">
        <v>0</v>
      </c>
      <c r="E554" s="18">
        <v>0</v>
      </c>
    </row>
    <row r="555" spans="1:5" x14ac:dyDescent="0.25">
      <c r="A555" s="18">
        <v>1972</v>
      </c>
      <c r="B555" s="18" t="s">
        <v>34</v>
      </c>
      <c r="C555" s="18">
        <v>0</v>
      </c>
      <c r="D555" s="18">
        <v>0</v>
      </c>
      <c r="E555" s="18">
        <v>0</v>
      </c>
    </row>
    <row r="556" spans="1:5" x14ac:dyDescent="0.25">
      <c r="A556" s="18">
        <v>1973</v>
      </c>
      <c r="B556" s="18" t="s">
        <v>34</v>
      </c>
      <c r="C556" s="18">
        <v>0</v>
      </c>
      <c r="D556" s="18">
        <v>0</v>
      </c>
      <c r="E556" s="18">
        <v>0</v>
      </c>
    </row>
    <row r="557" spans="1:5" x14ac:dyDescent="0.25">
      <c r="A557" s="18">
        <v>1974</v>
      </c>
      <c r="B557" s="18" t="s">
        <v>34</v>
      </c>
      <c r="C557" s="18">
        <v>0</v>
      </c>
      <c r="D557" s="18">
        <v>0</v>
      </c>
      <c r="E557" s="18">
        <v>0</v>
      </c>
    </row>
    <row r="558" spans="1:5" x14ac:dyDescent="0.25">
      <c r="A558" s="18">
        <v>1975</v>
      </c>
      <c r="B558" s="18" t="s">
        <v>34</v>
      </c>
      <c r="C558" s="18">
        <v>0</v>
      </c>
      <c r="D558" s="18">
        <v>0</v>
      </c>
      <c r="E558" s="18">
        <v>0</v>
      </c>
    </row>
    <row r="559" spans="1:5" x14ac:dyDescent="0.25">
      <c r="A559" s="18">
        <v>1976</v>
      </c>
      <c r="B559" s="18" t="s">
        <v>34</v>
      </c>
      <c r="C559" s="18">
        <v>0</v>
      </c>
      <c r="D559" s="18">
        <v>0</v>
      </c>
      <c r="E559" s="18">
        <v>0</v>
      </c>
    </row>
    <row r="560" spans="1:5" x14ac:dyDescent="0.25">
      <c r="A560" s="18">
        <v>1977</v>
      </c>
      <c r="B560" s="18" t="s">
        <v>34</v>
      </c>
      <c r="C560" s="18">
        <v>0</v>
      </c>
      <c r="D560" s="18">
        <v>0</v>
      </c>
      <c r="E560" s="18">
        <v>0</v>
      </c>
    </row>
    <row r="561" spans="1:5" x14ac:dyDescent="0.25">
      <c r="A561" s="18">
        <v>1978</v>
      </c>
      <c r="B561" s="18" t="s">
        <v>34</v>
      </c>
      <c r="C561" s="18">
        <v>0</v>
      </c>
      <c r="D561" s="18">
        <v>0</v>
      </c>
      <c r="E561" s="18">
        <v>0</v>
      </c>
    </row>
    <row r="562" spans="1:5" x14ac:dyDescent="0.25">
      <c r="A562" s="18">
        <v>1979</v>
      </c>
      <c r="B562" s="18" t="s">
        <v>34</v>
      </c>
      <c r="C562" s="18">
        <v>0</v>
      </c>
      <c r="D562" s="18">
        <v>0</v>
      </c>
      <c r="E562" s="18">
        <v>0</v>
      </c>
    </row>
    <row r="563" spans="1:5" x14ac:dyDescent="0.25">
      <c r="A563" s="18">
        <v>1980</v>
      </c>
      <c r="B563" s="18" t="s">
        <v>34</v>
      </c>
      <c r="C563" s="18">
        <v>1371</v>
      </c>
      <c r="D563" s="18">
        <v>687</v>
      </c>
      <c r="E563" s="18">
        <v>685</v>
      </c>
    </row>
    <row r="564" spans="1:5" x14ac:dyDescent="0.25">
      <c r="A564" s="18">
        <v>1981</v>
      </c>
      <c r="B564" s="18" t="s">
        <v>34</v>
      </c>
      <c r="C564" s="18">
        <v>0</v>
      </c>
      <c r="D564" s="18">
        <v>0</v>
      </c>
      <c r="E564" s="18">
        <v>0</v>
      </c>
    </row>
    <row r="565" spans="1:5" x14ac:dyDescent="0.25">
      <c r="A565" s="18">
        <v>1982</v>
      </c>
      <c r="B565" s="18" t="s">
        <v>34</v>
      </c>
      <c r="C565" s="18">
        <v>0</v>
      </c>
      <c r="D565" s="18">
        <v>0</v>
      </c>
      <c r="E565" s="18">
        <v>0</v>
      </c>
    </row>
    <row r="566" spans="1:5" x14ac:dyDescent="0.25">
      <c r="A566" s="18">
        <v>1983</v>
      </c>
      <c r="B566" s="18" t="s">
        <v>34</v>
      </c>
      <c r="C566" s="18">
        <v>0</v>
      </c>
      <c r="D566" s="18">
        <v>0</v>
      </c>
      <c r="E566" s="18">
        <v>0</v>
      </c>
    </row>
    <row r="567" spans="1:5" x14ac:dyDescent="0.25">
      <c r="A567" s="18">
        <v>1984</v>
      </c>
      <c r="B567" s="18" t="s">
        <v>34</v>
      </c>
      <c r="C567" s="18">
        <v>0</v>
      </c>
      <c r="D567" s="18">
        <v>0</v>
      </c>
      <c r="E567" s="18">
        <v>0</v>
      </c>
    </row>
    <row r="568" spans="1:5" x14ac:dyDescent="0.25">
      <c r="A568" s="18">
        <v>1985</v>
      </c>
      <c r="B568" s="18" t="s">
        <v>34</v>
      </c>
      <c r="C568" s="18">
        <v>1241</v>
      </c>
      <c r="D568" s="18">
        <v>635</v>
      </c>
      <c r="E568" s="18">
        <v>607</v>
      </c>
    </row>
    <row r="569" spans="1:5" x14ac:dyDescent="0.25">
      <c r="A569" s="18">
        <v>1986</v>
      </c>
      <c r="B569" s="18" t="s">
        <v>34</v>
      </c>
      <c r="C569" s="18">
        <v>0</v>
      </c>
      <c r="D569" s="18">
        <v>0</v>
      </c>
      <c r="E569" s="18">
        <v>0</v>
      </c>
    </row>
    <row r="570" spans="1:5" x14ac:dyDescent="0.25">
      <c r="A570" s="18">
        <v>1987</v>
      </c>
      <c r="B570" s="18" t="s">
        <v>34</v>
      </c>
      <c r="C570" s="18">
        <v>0</v>
      </c>
      <c r="D570" s="18">
        <v>0</v>
      </c>
      <c r="E570" s="18">
        <v>0</v>
      </c>
    </row>
    <row r="571" spans="1:5" x14ac:dyDescent="0.25">
      <c r="A571" s="18">
        <v>1988</v>
      </c>
      <c r="B571" s="18" t="s">
        <v>34</v>
      </c>
      <c r="C571" s="18">
        <v>0</v>
      </c>
      <c r="D571" s="18">
        <v>0</v>
      </c>
      <c r="E571" s="18">
        <v>0</v>
      </c>
    </row>
    <row r="572" spans="1:5" x14ac:dyDescent="0.25">
      <c r="A572" s="18">
        <v>1989</v>
      </c>
      <c r="B572" s="18" t="s">
        <v>34</v>
      </c>
      <c r="C572" s="18">
        <v>0</v>
      </c>
      <c r="D572" s="18">
        <v>0</v>
      </c>
      <c r="E572" s="18">
        <v>0</v>
      </c>
    </row>
    <row r="573" spans="1:5" x14ac:dyDescent="0.25">
      <c r="A573" s="18">
        <v>1990</v>
      </c>
      <c r="B573" s="18" t="s">
        <v>34</v>
      </c>
      <c r="C573" s="18">
        <v>1733</v>
      </c>
      <c r="D573" s="18">
        <v>895</v>
      </c>
      <c r="E573" s="18">
        <v>839</v>
      </c>
    </row>
    <row r="574" spans="1:5" x14ac:dyDescent="0.25">
      <c r="A574" s="18">
        <v>1991</v>
      </c>
      <c r="B574" s="18" t="s">
        <v>34</v>
      </c>
      <c r="C574" s="18">
        <v>0</v>
      </c>
      <c r="D574" s="18">
        <v>0</v>
      </c>
      <c r="E574" s="18">
        <v>0</v>
      </c>
    </row>
    <row r="575" spans="1:5" x14ac:dyDescent="0.25">
      <c r="A575" s="18">
        <v>1992</v>
      </c>
      <c r="B575" s="18" t="s">
        <v>34</v>
      </c>
      <c r="C575" s="18">
        <v>0</v>
      </c>
      <c r="D575" s="18">
        <v>0</v>
      </c>
      <c r="E575" s="18">
        <v>0</v>
      </c>
    </row>
    <row r="576" spans="1:5" x14ac:dyDescent="0.25">
      <c r="A576" s="18">
        <v>1993</v>
      </c>
      <c r="B576" s="18" t="s">
        <v>34</v>
      </c>
      <c r="C576" s="18">
        <v>0</v>
      </c>
      <c r="D576" s="18">
        <v>0</v>
      </c>
      <c r="E576" s="18">
        <v>0</v>
      </c>
    </row>
    <row r="577" spans="1:5" x14ac:dyDescent="0.25">
      <c r="A577" s="18">
        <v>1994</v>
      </c>
      <c r="B577" s="18" t="s">
        <v>34</v>
      </c>
      <c r="C577" s="18">
        <v>0</v>
      </c>
      <c r="D577" s="18">
        <v>0</v>
      </c>
      <c r="E577" s="18">
        <v>0</v>
      </c>
    </row>
    <row r="578" spans="1:5" x14ac:dyDescent="0.25">
      <c r="A578" s="18">
        <v>1995</v>
      </c>
      <c r="B578" s="18" t="s">
        <v>34</v>
      </c>
      <c r="C578" s="18">
        <v>0</v>
      </c>
      <c r="D578" s="18">
        <v>0</v>
      </c>
      <c r="E578" s="18">
        <v>0</v>
      </c>
    </row>
    <row r="579" spans="1:5" x14ac:dyDescent="0.25">
      <c r="A579" s="18">
        <v>1996</v>
      </c>
      <c r="B579" s="18" t="s">
        <v>34</v>
      </c>
      <c r="C579" s="18">
        <v>0</v>
      </c>
      <c r="D579" s="18">
        <v>0</v>
      </c>
      <c r="E579" s="18">
        <v>0</v>
      </c>
    </row>
    <row r="580" spans="1:5" x14ac:dyDescent="0.25">
      <c r="A580" s="18">
        <v>1997</v>
      </c>
      <c r="B580" s="18" t="s">
        <v>34</v>
      </c>
      <c r="C580" s="18">
        <v>0</v>
      </c>
      <c r="D580" s="18">
        <v>0</v>
      </c>
      <c r="E580" s="18">
        <v>0</v>
      </c>
    </row>
    <row r="581" spans="1:5" x14ac:dyDescent="0.25">
      <c r="A581" s="18">
        <v>1998</v>
      </c>
      <c r="B581" s="18" t="s">
        <v>34</v>
      </c>
      <c r="C581" s="18">
        <v>0</v>
      </c>
      <c r="D581" s="18">
        <v>0</v>
      </c>
      <c r="E581" s="18">
        <v>0</v>
      </c>
    </row>
    <row r="582" spans="1:5" x14ac:dyDescent="0.25">
      <c r="A582" s="18">
        <v>1999</v>
      </c>
      <c r="B582" s="18" t="s">
        <v>34</v>
      </c>
      <c r="C582" s="18">
        <v>0</v>
      </c>
      <c r="D582" s="18">
        <v>0</v>
      </c>
      <c r="E582" s="18">
        <v>0</v>
      </c>
    </row>
    <row r="583" spans="1:5" x14ac:dyDescent="0.25">
      <c r="A583" s="18">
        <v>2000</v>
      </c>
      <c r="B583" s="18" t="s">
        <v>34</v>
      </c>
      <c r="C583" s="18">
        <v>2150</v>
      </c>
      <c r="D583" s="18">
        <v>1110</v>
      </c>
      <c r="E583" s="18">
        <v>1040</v>
      </c>
    </row>
    <row r="584" spans="1:5" x14ac:dyDescent="0.25">
      <c r="A584" s="18">
        <v>2001</v>
      </c>
      <c r="B584" s="18" t="s">
        <v>34</v>
      </c>
      <c r="C584" s="18">
        <v>0</v>
      </c>
      <c r="D584" s="18">
        <v>0</v>
      </c>
      <c r="E584" s="18">
        <v>0</v>
      </c>
    </row>
    <row r="585" spans="1:5" x14ac:dyDescent="0.25">
      <c r="A585" s="18">
        <v>2002</v>
      </c>
      <c r="B585" s="18" t="s">
        <v>34</v>
      </c>
      <c r="C585" s="18">
        <v>0</v>
      </c>
      <c r="D585" s="18">
        <v>0</v>
      </c>
      <c r="E585" s="18">
        <v>0</v>
      </c>
    </row>
    <row r="586" spans="1:5" x14ac:dyDescent="0.25">
      <c r="A586" s="18">
        <v>2003</v>
      </c>
      <c r="B586" s="18" t="s">
        <v>34</v>
      </c>
      <c r="C586" s="18">
        <v>0</v>
      </c>
      <c r="D586" s="18">
        <v>0</v>
      </c>
      <c r="E586" s="18">
        <v>0</v>
      </c>
    </row>
    <row r="587" spans="1:5" x14ac:dyDescent="0.25">
      <c r="A587" s="18">
        <v>2004</v>
      </c>
      <c r="B587" s="18" t="s">
        <v>34</v>
      </c>
      <c r="C587" s="18">
        <v>0</v>
      </c>
      <c r="D587" s="18">
        <v>0</v>
      </c>
      <c r="E587" s="18">
        <v>0</v>
      </c>
    </row>
    <row r="588" spans="1:5" x14ac:dyDescent="0.25">
      <c r="A588" s="18">
        <v>2005</v>
      </c>
      <c r="B588" s="18" t="s">
        <v>34</v>
      </c>
      <c r="C588" s="18">
        <v>0</v>
      </c>
      <c r="D588" s="18">
        <v>0</v>
      </c>
      <c r="E588" s="18">
        <v>0</v>
      </c>
    </row>
    <row r="589" spans="1:5" x14ac:dyDescent="0.25">
      <c r="A589" s="18">
        <v>2006</v>
      </c>
      <c r="B589" s="18" t="s">
        <v>34</v>
      </c>
      <c r="C589" s="18">
        <v>0</v>
      </c>
      <c r="D589" s="18">
        <v>0</v>
      </c>
      <c r="E589" s="18">
        <v>0</v>
      </c>
    </row>
    <row r="590" spans="1:5" x14ac:dyDescent="0.25">
      <c r="A590" s="18">
        <v>2007</v>
      </c>
      <c r="B590" s="18" t="s">
        <v>34</v>
      </c>
      <c r="C590" s="18">
        <v>0</v>
      </c>
      <c r="D590" s="18">
        <v>0</v>
      </c>
      <c r="E590" s="18">
        <v>0</v>
      </c>
    </row>
    <row r="591" spans="1:5" x14ac:dyDescent="0.25">
      <c r="A591" s="18">
        <v>2008</v>
      </c>
      <c r="B591" s="18" t="s">
        <v>34</v>
      </c>
      <c r="C591" s="18">
        <v>0</v>
      </c>
      <c r="D591" s="18">
        <v>0</v>
      </c>
      <c r="E591" s="18">
        <v>0</v>
      </c>
    </row>
    <row r="592" spans="1:5" x14ac:dyDescent="0.25">
      <c r="A592" s="18">
        <v>1950</v>
      </c>
      <c r="B592" s="18" t="s">
        <v>100</v>
      </c>
      <c r="C592" s="18">
        <v>0</v>
      </c>
      <c r="D592" s="18">
        <v>0</v>
      </c>
      <c r="E592" s="18">
        <v>0</v>
      </c>
    </row>
    <row r="593" spans="1:5" x14ac:dyDescent="0.25">
      <c r="A593" s="18">
        <v>1951</v>
      </c>
      <c r="B593" s="18" t="s">
        <v>100</v>
      </c>
      <c r="C593" s="18">
        <v>0</v>
      </c>
      <c r="D593" s="18">
        <v>0</v>
      </c>
      <c r="E593" s="18">
        <v>0</v>
      </c>
    </row>
    <row r="594" spans="1:5" x14ac:dyDescent="0.25">
      <c r="A594" s="18">
        <v>1952</v>
      </c>
      <c r="B594" s="18" t="s">
        <v>100</v>
      </c>
      <c r="C594" s="18">
        <v>0</v>
      </c>
      <c r="D594" s="18">
        <v>0</v>
      </c>
      <c r="E594" s="18">
        <v>0</v>
      </c>
    </row>
    <row r="595" spans="1:5" x14ac:dyDescent="0.25">
      <c r="A595" s="18">
        <v>1953</v>
      </c>
      <c r="B595" s="18" t="s">
        <v>100</v>
      </c>
      <c r="C595" s="18">
        <v>0</v>
      </c>
      <c r="D595" s="18">
        <v>0</v>
      </c>
      <c r="E595" s="18">
        <v>0</v>
      </c>
    </row>
    <row r="596" spans="1:5" x14ac:dyDescent="0.25">
      <c r="A596" s="18">
        <v>1954</v>
      </c>
      <c r="B596" s="18" t="s">
        <v>100</v>
      </c>
      <c r="C596" s="18">
        <v>0</v>
      </c>
      <c r="D596" s="18">
        <v>0</v>
      </c>
      <c r="E596" s="18">
        <v>0</v>
      </c>
    </row>
    <row r="597" spans="1:5" x14ac:dyDescent="0.25">
      <c r="A597" s="18">
        <v>1955</v>
      </c>
      <c r="B597" s="18" t="s">
        <v>100</v>
      </c>
      <c r="C597" s="18">
        <v>0</v>
      </c>
      <c r="D597" s="18">
        <v>0</v>
      </c>
      <c r="E597" s="18">
        <v>0</v>
      </c>
    </row>
    <row r="598" spans="1:5" x14ac:dyDescent="0.25">
      <c r="A598" s="18">
        <v>1956</v>
      </c>
      <c r="B598" s="18" t="s">
        <v>100</v>
      </c>
      <c r="C598" s="18">
        <v>0</v>
      </c>
      <c r="D598" s="18">
        <v>0</v>
      </c>
      <c r="E598" s="18">
        <v>0</v>
      </c>
    </row>
    <row r="599" spans="1:5" x14ac:dyDescent="0.25">
      <c r="A599" s="18">
        <v>1957</v>
      </c>
      <c r="B599" s="18" t="s">
        <v>100</v>
      </c>
      <c r="C599" s="18">
        <v>0</v>
      </c>
      <c r="D599" s="18">
        <v>0</v>
      </c>
      <c r="E599" s="18">
        <v>0</v>
      </c>
    </row>
    <row r="600" spans="1:5" x14ac:dyDescent="0.25">
      <c r="A600" s="18">
        <v>1958</v>
      </c>
      <c r="B600" s="18" t="s">
        <v>100</v>
      </c>
      <c r="C600" s="18">
        <v>0</v>
      </c>
      <c r="D600" s="18">
        <v>0</v>
      </c>
      <c r="E600" s="18">
        <v>0</v>
      </c>
    </row>
    <row r="601" spans="1:5" x14ac:dyDescent="0.25">
      <c r="A601" s="18">
        <v>1959</v>
      </c>
      <c r="B601" s="18" t="s">
        <v>100</v>
      </c>
      <c r="C601" s="18">
        <v>0</v>
      </c>
      <c r="D601" s="18">
        <v>0</v>
      </c>
      <c r="E601" s="18">
        <v>0</v>
      </c>
    </row>
    <row r="602" spans="1:5" x14ac:dyDescent="0.25">
      <c r="A602" s="18">
        <v>1960</v>
      </c>
      <c r="B602" s="18" t="s">
        <v>100</v>
      </c>
      <c r="C602" s="18">
        <v>0</v>
      </c>
      <c r="D602" s="18">
        <v>0</v>
      </c>
      <c r="E602" s="18">
        <v>0</v>
      </c>
    </row>
    <row r="603" spans="1:5" x14ac:dyDescent="0.25">
      <c r="A603" s="18">
        <v>1961</v>
      </c>
      <c r="B603" s="18" t="s">
        <v>100</v>
      </c>
      <c r="C603" s="18">
        <v>0</v>
      </c>
      <c r="D603" s="18">
        <v>0</v>
      </c>
      <c r="E603" s="18">
        <v>0</v>
      </c>
    </row>
    <row r="604" spans="1:5" x14ac:dyDescent="0.25">
      <c r="A604" s="18">
        <v>1962</v>
      </c>
      <c r="B604" s="18" t="s">
        <v>100</v>
      </c>
      <c r="C604" s="18">
        <v>0</v>
      </c>
      <c r="D604" s="18">
        <v>0</v>
      </c>
      <c r="E604" s="18">
        <v>0</v>
      </c>
    </row>
    <row r="605" spans="1:5" x14ac:dyDescent="0.25">
      <c r="A605" s="18">
        <v>1963</v>
      </c>
      <c r="B605" s="18" t="s">
        <v>100</v>
      </c>
      <c r="C605" s="18">
        <v>0</v>
      </c>
      <c r="D605" s="18">
        <v>0</v>
      </c>
      <c r="E605" s="18">
        <v>0</v>
      </c>
    </row>
    <row r="606" spans="1:5" x14ac:dyDescent="0.25">
      <c r="A606" s="18">
        <v>1964</v>
      </c>
      <c r="B606" s="18" t="s">
        <v>100</v>
      </c>
      <c r="C606" s="18">
        <v>0</v>
      </c>
      <c r="D606" s="18">
        <v>0</v>
      </c>
      <c r="E606" s="18">
        <v>0</v>
      </c>
    </row>
    <row r="607" spans="1:5" x14ac:dyDescent="0.25">
      <c r="A607" s="18">
        <v>1965</v>
      </c>
      <c r="B607" s="18" t="s">
        <v>100</v>
      </c>
      <c r="C607" s="18">
        <v>0</v>
      </c>
      <c r="D607" s="18">
        <v>0</v>
      </c>
      <c r="E607" s="18">
        <v>0</v>
      </c>
    </row>
    <row r="608" spans="1:5" x14ac:dyDescent="0.25">
      <c r="A608" s="18">
        <v>1966</v>
      </c>
      <c r="B608" s="18" t="s">
        <v>100</v>
      </c>
      <c r="C608" s="18">
        <v>0</v>
      </c>
      <c r="D608" s="18">
        <v>0</v>
      </c>
      <c r="E608" s="18">
        <v>0</v>
      </c>
    </row>
    <row r="609" spans="1:5" x14ac:dyDescent="0.25">
      <c r="A609" s="18">
        <v>1967</v>
      </c>
      <c r="B609" s="18" t="s">
        <v>100</v>
      </c>
      <c r="C609" s="18">
        <v>0</v>
      </c>
      <c r="D609" s="18">
        <v>0</v>
      </c>
      <c r="E609" s="18">
        <v>0</v>
      </c>
    </row>
    <row r="610" spans="1:5" x14ac:dyDescent="0.25">
      <c r="A610" s="18">
        <v>1968</v>
      </c>
      <c r="B610" s="18" t="s">
        <v>100</v>
      </c>
      <c r="C610" s="18">
        <v>0</v>
      </c>
      <c r="D610" s="18">
        <v>0</v>
      </c>
      <c r="E610" s="18">
        <v>0</v>
      </c>
    </row>
    <row r="611" spans="1:5" x14ac:dyDescent="0.25">
      <c r="A611" s="18">
        <v>1969</v>
      </c>
      <c r="B611" s="18" t="s">
        <v>100</v>
      </c>
      <c r="C611" s="18">
        <v>0</v>
      </c>
      <c r="D611" s="18">
        <v>0</v>
      </c>
      <c r="E611" s="18">
        <v>0</v>
      </c>
    </row>
    <row r="612" spans="1:5" x14ac:dyDescent="0.25">
      <c r="A612" s="18">
        <v>1970</v>
      </c>
      <c r="B612" s="18" t="s">
        <v>100</v>
      </c>
      <c r="C612" s="18">
        <v>6645</v>
      </c>
      <c r="D612" s="18">
        <v>3634</v>
      </c>
      <c r="E612" s="18">
        <v>3011</v>
      </c>
    </row>
    <row r="613" spans="1:5" x14ac:dyDescent="0.25">
      <c r="A613" s="18">
        <v>1971</v>
      </c>
      <c r="B613" s="18" t="s">
        <v>100</v>
      </c>
      <c r="C613" s="18">
        <v>0</v>
      </c>
      <c r="D613" s="18">
        <v>0</v>
      </c>
      <c r="E613" s="18">
        <v>0</v>
      </c>
    </row>
    <row r="614" spans="1:5" x14ac:dyDescent="0.25">
      <c r="A614" s="18">
        <v>1972</v>
      </c>
      <c r="B614" s="18" t="s">
        <v>100</v>
      </c>
      <c r="C614" s="18">
        <v>0</v>
      </c>
      <c r="D614" s="18">
        <v>0</v>
      </c>
      <c r="E614" s="18">
        <v>0</v>
      </c>
    </row>
    <row r="615" spans="1:5" x14ac:dyDescent="0.25">
      <c r="A615" s="18">
        <v>1973</v>
      </c>
      <c r="B615" s="18" t="s">
        <v>100</v>
      </c>
      <c r="C615" s="18">
        <v>0</v>
      </c>
      <c r="D615" s="18">
        <v>0</v>
      </c>
      <c r="E615" s="18">
        <v>0</v>
      </c>
    </row>
    <row r="616" spans="1:5" x14ac:dyDescent="0.25">
      <c r="A616" s="18">
        <v>1974</v>
      </c>
      <c r="B616" s="18" t="s">
        <v>100</v>
      </c>
      <c r="C616" s="18">
        <v>0</v>
      </c>
      <c r="D616" s="18">
        <v>0</v>
      </c>
      <c r="E616" s="18">
        <v>0</v>
      </c>
    </row>
    <row r="617" spans="1:5" x14ac:dyDescent="0.25">
      <c r="A617" s="18">
        <v>1975</v>
      </c>
      <c r="B617" s="18" t="s">
        <v>100</v>
      </c>
      <c r="C617" s="18">
        <v>7382</v>
      </c>
      <c r="D617" s="18">
        <v>4112</v>
      </c>
      <c r="E617" s="18">
        <v>3270</v>
      </c>
    </row>
    <row r="618" spans="1:5" x14ac:dyDescent="0.25">
      <c r="A618" s="18">
        <v>1976</v>
      </c>
      <c r="B618" s="18" t="s">
        <v>100</v>
      </c>
      <c r="C618" s="18">
        <v>0</v>
      </c>
      <c r="D618" s="18">
        <v>0</v>
      </c>
      <c r="E618" s="18">
        <v>0</v>
      </c>
    </row>
    <row r="619" spans="1:5" x14ac:dyDescent="0.25">
      <c r="A619" s="18">
        <v>1977</v>
      </c>
      <c r="B619" s="18" t="s">
        <v>100</v>
      </c>
      <c r="C619" s="18">
        <v>0</v>
      </c>
      <c r="D619" s="18">
        <v>0</v>
      </c>
      <c r="E619" s="18">
        <v>0</v>
      </c>
    </row>
    <row r="620" spans="1:5" x14ac:dyDescent="0.25">
      <c r="A620" s="18">
        <v>1978</v>
      </c>
      <c r="B620" s="18" t="s">
        <v>100</v>
      </c>
      <c r="C620" s="18">
        <v>0</v>
      </c>
      <c r="D620" s="18">
        <v>0</v>
      </c>
      <c r="E620" s="18">
        <v>0</v>
      </c>
    </row>
    <row r="621" spans="1:5" x14ac:dyDescent="0.25">
      <c r="A621" s="18">
        <v>1979</v>
      </c>
      <c r="B621" s="18" t="s">
        <v>100</v>
      </c>
      <c r="C621" s="18">
        <v>0</v>
      </c>
      <c r="D621" s="18">
        <v>0</v>
      </c>
      <c r="E621" s="18">
        <v>0</v>
      </c>
    </row>
    <row r="622" spans="1:5" x14ac:dyDescent="0.25">
      <c r="A622" s="18">
        <v>1980</v>
      </c>
      <c r="B622" s="18" t="s">
        <v>100</v>
      </c>
      <c r="C622" s="18">
        <v>8956</v>
      </c>
      <c r="D622" s="18">
        <v>4633</v>
      </c>
      <c r="E622" s="18">
        <v>4323</v>
      </c>
    </row>
    <row r="623" spans="1:5" x14ac:dyDescent="0.25">
      <c r="A623" s="18">
        <v>1981</v>
      </c>
      <c r="B623" s="18" t="s">
        <v>100</v>
      </c>
      <c r="C623" s="18">
        <v>0</v>
      </c>
      <c r="D623" s="18">
        <v>0</v>
      </c>
      <c r="E623" s="18">
        <v>0</v>
      </c>
    </row>
    <row r="624" spans="1:5" x14ac:dyDescent="0.25">
      <c r="A624" s="18">
        <v>1982</v>
      </c>
      <c r="B624" s="18" t="s">
        <v>100</v>
      </c>
      <c r="C624" s="18">
        <v>0</v>
      </c>
      <c r="D624" s="18">
        <v>0</v>
      </c>
      <c r="E624" s="18">
        <v>0</v>
      </c>
    </row>
    <row r="625" spans="1:5" x14ac:dyDescent="0.25">
      <c r="A625" s="18">
        <v>1983</v>
      </c>
      <c r="B625" s="18" t="s">
        <v>100</v>
      </c>
      <c r="C625" s="18">
        <v>0</v>
      </c>
      <c r="D625" s="18">
        <v>0</v>
      </c>
      <c r="E625" s="18">
        <v>0</v>
      </c>
    </row>
    <row r="626" spans="1:5" x14ac:dyDescent="0.25">
      <c r="A626" s="18">
        <v>1984</v>
      </c>
      <c r="B626" s="18" t="s">
        <v>100</v>
      </c>
      <c r="C626" s="18">
        <v>0</v>
      </c>
      <c r="D626" s="18">
        <v>0</v>
      </c>
      <c r="E626" s="18">
        <v>0</v>
      </c>
    </row>
    <row r="627" spans="1:5" x14ac:dyDescent="0.25">
      <c r="A627" s="18">
        <v>1985</v>
      </c>
      <c r="B627" s="18" t="s">
        <v>100</v>
      </c>
      <c r="C627" s="18">
        <v>10931</v>
      </c>
      <c r="D627" s="18">
        <v>5716</v>
      </c>
      <c r="E627" s="18">
        <v>5215</v>
      </c>
    </row>
    <row r="628" spans="1:5" x14ac:dyDescent="0.25">
      <c r="A628" s="18">
        <v>1986</v>
      </c>
      <c r="B628" s="18" t="s">
        <v>100</v>
      </c>
      <c r="C628" s="18">
        <v>0</v>
      </c>
      <c r="D628" s="18">
        <v>0</v>
      </c>
      <c r="E628" s="18">
        <v>0</v>
      </c>
    </row>
    <row r="629" spans="1:5" x14ac:dyDescent="0.25">
      <c r="A629" s="18">
        <v>1987</v>
      </c>
      <c r="B629" s="18" t="s">
        <v>100</v>
      </c>
      <c r="C629" s="18">
        <v>0</v>
      </c>
      <c r="D629" s="18">
        <v>0</v>
      </c>
      <c r="E629" s="18">
        <v>0</v>
      </c>
    </row>
    <row r="630" spans="1:5" x14ac:dyDescent="0.25">
      <c r="A630" s="18">
        <v>1988</v>
      </c>
      <c r="B630" s="18" t="s">
        <v>100</v>
      </c>
      <c r="C630" s="18">
        <v>0</v>
      </c>
      <c r="D630" s="18">
        <v>0</v>
      </c>
      <c r="E630" s="18">
        <v>0</v>
      </c>
    </row>
    <row r="631" spans="1:5" x14ac:dyDescent="0.25">
      <c r="A631" s="18">
        <v>1989</v>
      </c>
      <c r="B631" s="18" t="s">
        <v>100</v>
      </c>
      <c r="C631" s="18">
        <v>0</v>
      </c>
      <c r="D631" s="18">
        <v>0</v>
      </c>
      <c r="E631" s="18">
        <v>0</v>
      </c>
    </row>
    <row r="632" spans="1:5" x14ac:dyDescent="0.25">
      <c r="A632" s="18">
        <v>1990</v>
      </c>
      <c r="B632" s="18" t="s">
        <v>100</v>
      </c>
      <c r="C632" s="18">
        <v>15715</v>
      </c>
      <c r="D632" s="18">
        <v>8120</v>
      </c>
      <c r="E632" s="18">
        <v>7595</v>
      </c>
    </row>
    <row r="633" spans="1:5" x14ac:dyDescent="0.25">
      <c r="A633" s="18">
        <v>1991</v>
      </c>
      <c r="B633" s="18" t="s">
        <v>100</v>
      </c>
      <c r="C633" s="18">
        <v>0</v>
      </c>
      <c r="D633" s="18">
        <v>0</v>
      </c>
      <c r="E633" s="18">
        <v>0</v>
      </c>
    </row>
    <row r="634" spans="1:5" x14ac:dyDescent="0.25">
      <c r="A634" s="18">
        <v>1992</v>
      </c>
      <c r="B634" s="18" t="s">
        <v>100</v>
      </c>
      <c r="C634" s="18">
        <v>0</v>
      </c>
      <c r="D634" s="18">
        <v>0</v>
      </c>
      <c r="E634" s="18">
        <v>0</v>
      </c>
    </row>
    <row r="635" spans="1:5" x14ac:dyDescent="0.25">
      <c r="A635" s="18">
        <v>1993</v>
      </c>
      <c r="B635" s="18" t="s">
        <v>100</v>
      </c>
      <c r="C635" s="18">
        <v>0</v>
      </c>
      <c r="D635" s="18">
        <v>0</v>
      </c>
      <c r="E635" s="18">
        <v>0</v>
      </c>
    </row>
    <row r="636" spans="1:5" x14ac:dyDescent="0.25">
      <c r="A636" s="18">
        <v>1994</v>
      </c>
      <c r="B636" s="18" t="s">
        <v>100</v>
      </c>
      <c r="C636" s="18">
        <v>0</v>
      </c>
      <c r="D636" s="18">
        <v>0</v>
      </c>
      <c r="E636" s="18">
        <v>0</v>
      </c>
    </row>
    <row r="637" spans="1:5" x14ac:dyDescent="0.25">
      <c r="A637" s="18">
        <v>1995</v>
      </c>
      <c r="B637" s="18" t="s">
        <v>100</v>
      </c>
      <c r="C637" s="18">
        <v>0</v>
      </c>
      <c r="D637" s="18">
        <v>0</v>
      </c>
      <c r="E637" s="18">
        <v>0</v>
      </c>
    </row>
    <row r="638" spans="1:5" x14ac:dyDescent="0.25">
      <c r="A638" s="18">
        <v>1996</v>
      </c>
      <c r="B638" s="18" t="s">
        <v>100</v>
      </c>
      <c r="C638" s="18">
        <v>0</v>
      </c>
      <c r="D638" s="18">
        <v>0</v>
      </c>
      <c r="E638" s="18">
        <v>0</v>
      </c>
    </row>
    <row r="639" spans="1:5" x14ac:dyDescent="0.25">
      <c r="A639" s="18">
        <v>1997</v>
      </c>
      <c r="B639" s="18" t="s">
        <v>100</v>
      </c>
      <c r="C639" s="18">
        <v>0</v>
      </c>
      <c r="D639" s="18">
        <v>0</v>
      </c>
      <c r="E639" s="18">
        <v>0</v>
      </c>
    </row>
    <row r="640" spans="1:5" x14ac:dyDescent="0.25">
      <c r="A640" s="18">
        <v>1998</v>
      </c>
      <c r="B640" s="18" t="s">
        <v>100</v>
      </c>
      <c r="C640" s="18">
        <v>0</v>
      </c>
      <c r="D640" s="18">
        <v>0</v>
      </c>
      <c r="E640" s="18">
        <v>0</v>
      </c>
    </row>
    <row r="641" spans="1:5" x14ac:dyDescent="0.25">
      <c r="A641" s="18">
        <v>1999</v>
      </c>
      <c r="B641" s="18" t="s">
        <v>100</v>
      </c>
      <c r="C641" s="18">
        <v>0</v>
      </c>
      <c r="D641" s="18">
        <v>0</v>
      </c>
      <c r="E641" s="18">
        <v>0</v>
      </c>
    </row>
    <row r="642" spans="1:5" x14ac:dyDescent="0.25">
      <c r="A642" s="18">
        <v>2000</v>
      </c>
      <c r="B642" s="18" t="s">
        <v>100</v>
      </c>
      <c r="C642" s="18">
        <v>21118</v>
      </c>
      <c r="D642" s="18">
        <v>11135</v>
      </c>
      <c r="E642" s="18">
        <v>9989</v>
      </c>
    </row>
    <row r="643" spans="1:5" x14ac:dyDescent="0.25">
      <c r="A643" s="18">
        <v>2001</v>
      </c>
      <c r="B643" s="18" t="s">
        <v>100</v>
      </c>
      <c r="C643" s="18">
        <v>0</v>
      </c>
      <c r="D643" s="18">
        <v>0</v>
      </c>
      <c r="E643" s="18">
        <v>0</v>
      </c>
    </row>
    <row r="644" spans="1:5" x14ac:dyDescent="0.25">
      <c r="A644" s="18">
        <v>2002</v>
      </c>
      <c r="B644" s="18" t="s">
        <v>100</v>
      </c>
      <c r="C644" s="18">
        <v>0</v>
      </c>
      <c r="D644" s="18">
        <v>0</v>
      </c>
      <c r="E644" s="18">
        <v>0</v>
      </c>
    </row>
    <row r="645" spans="1:5" x14ac:dyDescent="0.25">
      <c r="A645" s="18">
        <v>2003</v>
      </c>
      <c r="B645" s="18" t="s">
        <v>100</v>
      </c>
      <c r="C645" s="18">
        <v>0</v>
      </c>
      <c r="D645" s="18">
        <v>0</v>
      </c>
      <c r="E645" s="18">
        <v>0</v>
      </c>
    </row>
    <row r="646" spans="1:5" x14ac:dyDescent="0.25">
      <c r="A646" s="18">
        <v>2004</v>
      </c>
      <c r="B646" s="18" t="s">
        <v>100</v>
      </c>
      <c r="C646" s="18">
        <v>0</v>
      </c>
      <c r="D646" s="18">
        <v>0</v>
      </c>
      <c r="E646" s="18">
        <v>0</v>
      </c>
    </row>
    <row r="647" spans="1:5" x14ac:dyDescent="0.25">
      <c r="A647" s="18">
        <v>2005</v>
      </c>
      <c r="B647" s="18" t="s">
        <v>100</v>
      </c>
      <c r="C647" s="18">
        <v>0</v>
      </c>
      <c r="D647" s="18">
        <v>0</v>
      </c>
      <c r="E647" s="18">
        <v>0</v>
      </c>
    </row>
    <row r="648" spans="1:5" x14ac:dyDescent="0.25">
      <c r="A648" s="18">
        <v>2006</v>
      </c>
      <c r="B648" s="18" t="s">
        <v>100</v>
      </c>
      <c r="C648" s="18">
        <v>0</v>
      </c>
      <c r="D648" s="18">
        <v>0</v>
      </c>
      <c r="E648" s="18">
        <v>0</v>
      </c>
    </row>
    <row r="649" spans="1:5" x14ac:dyDescent="0.25">
      <c r="A649" s="18">
        <v>2007</v>
      </c>
      <c r="B649" s="18" t="s">
        <v>100</v>
      </c>
      <c r="C649" s="18">
        <v>0</v>
      </c>
      <c r="D649" s="18">
        <v>0</v>
      </c>
      <c r="E649" s="18">
        <v>0</v>
      </c>
    </row>
    <row r="650" spans="1:5" x14ac:dyDescent="0.25">
      <c r="A650" s="18">
        <v>2008</v>
      </c>
      <c r="B650" s="18" t="s">
        <v>100</v>
      </c>
      <c r="C650" s="18">
        <v>0</v>
      </c>
      <c r="D650" s="18">
        <v>0</v>
      </c>
      <c r="E650" s="18">
        <v>0</v>
      </c>
    </row>
    <row r="651" spans="1:5" x14ac:dyDescent="0.25">
      <c r="A651" s="18">
        <v>1950</v>
      </c>
      <c r="B651" s="18" t="s">
        <v>48</v>
      </c>
      <c r="C651" s="18">
        <v>0</v>
      </c>
      <c r="D651" s="18">
        <v>0</v>
      </c>
      <c r="E651" s="18">
        <v>0</v>
      </c>
    </row>
    <row r="652" spans="1:5" x14ac:dyDescent="0.25">
      <c r="A652" s="18">
        <v>1951</v>
      </c>
      <c r="B652" s="18" t="s">
        <v>48</v>
      </c>
      <c r="C652" s="18">
        <v>0</v>
      </c>
      <c r="D652" s="18">
        <v>0</v>
      </c>
      <c r="E652" s="18">
        <v>0</v>
      </c>
    </row>
    <row r="653" spans="1:5" x14ac:dyDescent="0.25">
      <c r="A653" s="18">
        <v>1952</v>
      </c>
      <c r="B653" s="18" t="s">
        <v>48</v>
      </c>
      <c r="C653" s="18">
        <v>0</v>
      </c>
      <c r="D653" s="18">
        <v>0</v>
      </c>
      <c r="E653" s="18">
        <v>0</v>
      </c>
    </row>
    <row r="654" spans="1:5" x14ac:dyDescent="0.25">
      <c r="A654" s="18">
        <v>1953</v>
      </c>
      <c r="B654" s="18" t="s">
        <v>48</v>
      </c>
      <c r="C654" s="18">
        <v>0</v>
      </c>
      <c r="D654" s="18">
        <v>0</v>
      </c>
      <c r="E654" s="18">
        <v>0</v>
      </c>
    </row>
    <row r="655" spans="1:5" x14ac:dyDescent="0.25">
      <c r="A655" s="18">
        <v>1954</v>
      </c>
      <c r="B655" s="18" t="s">
        <v>48</v>
      </c>
      <c r="C655" s="18">
        <v>0</v>
      </c>
      <c r="D655" s="18">
        <v>0</v>
      </c>
      <c r="E655" s="18">
        <v>0</v>
      </c>
    </row>
    <row r="656" spans="1:5" x14ac:dyDescent="0.25">
      <c r="A656" s="18">
        <v>1955</v>
      </c>
      <c r="B656" s="18" t="s">
        <v>48</v>
      </c>
      <c r="C656" s="18">
        <v>0</v>
      </c>
      <c r="D656" s="18">
        <v>0</v>
      </c>
      <c r="E656" s="18">
        <v>0</v>
      </c>
    </row>
    <row r="657" spans="1:5" x14ac:dyDescent="0.25">
      <c r="A657" s="18">
        <v>1956</v>
      </c>
      <c r="B657" s="18" t="s">
        <v>48</v>
      </c>
      <c r="C657" s="18">
        <v>0</v>
      </c>
      <c r="D657" s="18">
        <v>0</v>
      </c>
      <c r="E657" s="18">
        <v>0</v>
      </c>
    </row>
    <row r="658" spans="1:5" x14ac:dyDescent="0.25">
      <c r="A658" s="18">
        <v>1957</v>
      </c>
      <c r="B658" s="18" t="s">
        <v>48</v>
      </c>
      <c r="C658" s="18">
        <v>0</v>
      </c>
      <c r="D658" s="18">
        <v>0</v>
      </c>
      <c r="E658" s="18">
        <v>0</v>
      </c>
    </row>
    <row r="659" spans="1:5" x14ac:dyDescent="0.25">
      <c r="A659" s="18">
        <v>1958</v>
      </c>
      <c r="B659" s="18" t="s">
        <v>48</v>
      </c>
      <c r="C659" s="18">
        <v>0</v>
      </c>
      <c r="D659" s="18">
        <v>0</v>
      </c>
      <c r="E659" s="18">
        <v>0</v>
      </c>
    </row>
    <row r="660" spans="1:5" x14ac:dyDescent="0.25">
      <c r="A660" s="18">
        <v>1959</v>
      </c>
      <c r="B660" s="18" t="s">
        <v>48</v>
      </c>
      <c r="C660" s="18">
        <v>0</v>
      </c>
      <c r="D660" s="18">
        <v>0</v>
      </c>
      <c r="E660" s="18">
        <v>0</v>
      </c>
    </row>
    <row r="661" spans="1:5" x14ac:dyDescent="0.25">
      <c r="A661" s="18">
        <v>1960</v>
      </c>
      <c r="B661" s="18" t="s">
        <v>48</v>
      </c>
      <c r="C661" s="18">
        <v>0</v>
      </c>
      <c r="D661" s="18">
        <v>0</v>
      </c>
      <c r="E661" s="18">
        <v>0</v>
      </c>
    </row>
    <row r="662" spans="1:5" x14ac:dyDescent="0.25">
      <c r="A662" s="18">
        <v>1961</v>
      </c>
      <c r="B662" s="18" t="s">
        <v>48</v>
      </c>
      <c r="C662" s="18">
        <v>0</v>
      </c>
      <c r="D662" s="18">
        <v>0</v>
      </c>
      <c r="E662" s="18">
        <v>0</v>
      </c>
    </row>
    <row r="663" spans="1:5" x14ac:dyDescent="0.25">
      <c r="A663" s="18">
        <v>1962</v>
      </c>
      <c r="B663" s="18" t="s">
        <v>48</v>
      </c>
      <c r="C663" s="18">
        <v>0</v>
      </c>
      <c r="D663" s="18">
        <v>0</v>
      </c>
      <c r="E663" s="18">
        <v>0</v>
      </c>
    </row>
    <row r="664" spans="1:5" x14ac:dyDescent="0.25">
      <c r="A664" s="18">
        <v>1963</v>
      </c>
      <c r="B664" s="18" t="s">
        <v>48</v>
      </c>
      <c r="C664" s="18">
        <v>0</v>
      </c>
      <c r="D664" s="18">
        <v>0</v>
      </c>
      <c r="E664" s="18">
        <v>0</v>
      </c>
    </row>
    <row r="665" spans="1:5" x14ac:dyDescent="0.25">
      <c r="A665" s="18">
        <v>1964</v>
      </c>
      <c r="B665" s="18" t="s">
        <v>48</v>
      </c>
      <c r="C665" s="18">
        <v>0</v>
      </c>
      <c r="D665" s="18">
        <v>0</v>
      </c>
      <c r="E665" s="18">
        <v>0</v>
      </c>
    </row>
    <row r="666" spans="1:5" x14ac:dyDescent="0.25">
      <c r="A666" s="18">
        <v>1965</v>
      </c>
      <c r="B666" s="18" t="s">
        <v>48</v>
      </c>
      <c r="C666" s="18">
        <v>0</v>
      </c>
      <c r="D666" s="18">
        <v>0</v>
      </c>
      <c r="E666" s="18">
        <v>0</v>
      </c>
    </row>
    <row r="667" spans="1:5" x14ac:dyDescent="0.25">
      <c r="A667" s="18">
        <v>1966</v>
      </c>
      <c r="B667" s="18" t="s">
        <v>48</v>
      </c>
      <c r="C667" s="18">
        <v>0</v>
      </c>
      <c r="D667" s="18">
        <v>0</v>
      </c>
      <c r="E667" s="18">
        <v>0</v>
      </c>
    </row>
    <row r="668" spans="1:5" x14ac:dyDescent="0.25">
      <c r="A668" s="18">
        <v>1967</v>
      </c>
      <c r="B668" s="18" t="s">
        <v>48</v>
      </c>
      <c r="C668" s="18">
        <v>0</v>
      </c>
      <c r="D668" s="18">
        <v>0</v>
      </c>
      <c r="E668" s="18">
        <v>0</v>
      </c>
    </row>
    <row r="669" spans="1:5" x14ac:dyDescent="0.25">
      <c r="A669" s="18">
        <v>1968</v>
      </c>
      <c r="B669" s="18" t="s">
        <v>48</v>
      </c>
      <c r="C669" s="18">
        <v>0</v>
      </c>
      <c r="D669" s="18">
        <v>0</v>
      </c>
      <c r="E669" s="18">
        <v>0</v>
      </c>
    </row>
    <row r="670" spans="1:5" x14ac:dyDescent="0.25">
      <c r="A670" s="18">
        <v>1969</v>
      </c>
      <c r="B670" s="18" t="s">
        <v>48</v>
      </c>
      <c r="C670" s="18">
        <v>0</v>
      </c>
      <c r="D670" s="18">
        <v>0</v>
      </c>
      <c r="E670" s="18">
        <v>0</v>
      </c>
    </row>
    <row r="671" spans="1:5" x14ac:dyDescent="0.25">
      <c r="A671" s="18">
        <v>1970</v>
      </c>
      <c r="B671" s="18" t="s">
        <v>48</v>
      </c>
      <c r="C671" s="18">
        <v>9850</v>
      </c>
      <c r="D671" s="18">
        <v>5379</v>
      </c>
      <c r="E671" s="18">
        <v>4471</v>
      </c>
    </row>
    <row r="672" spans="1:5" x14ac:dyDescent="0.25">
      <c r="A672" s="18">
        <v>1971</v>
      </c>
      <c r="B672" s="18" t="s">
        <v>48</v>
      </c>
      <c r="C672" s="18">
        <v>0</v>
      </c>
      <c r="D672" s="18">
        <v>0</v>
      </c>
      <c r="E672" s="18">
        <v>0</v>
      </c>
    </row>
    <row r="673" spans="1:5" x14ac:dyDescent="0.25">
      <c r="A673" s="18">
        <v>1972</v>
      </c>
      <c r="B673" s="18" t="s">
        <v>48</v>
      </c>
      <c r="C673" s="18">
        <v>0</v>
      </c>
      <c r="D673" s="18">
        <v>0</v>
      </c>
      <c r="E673" s="18">
        <v>0</v>
      </c>
    </row>
    <row r="674" spans="1:5" x14ac:dyDescent="0.25">
      <c r="A674" s="18">
        <v>1973</v>
      </c>
      <c r="B674" s="18" t="s">
        <v>48</v>
      </c>
      <c r="C674" s="18">
        <v>0</v>
      </c>
      <c r="D674" s="18">
        <v>0</v>
      </c>
      <c r="E674" s="18">
        <v>0</v>
      </c>
    </row>
    <row r="675" spans="1:5" x14ac:dyDescent="0.25">
      <c r="A675" s="18">
        <v>1974</v>
      </c>
      <c r="B675" s="18" t="s">
        <v>48</v>
      </c>
      <c r="C675" s="18">
        <v>0</v>
      </c>
      <c r="D675" s="18">
        <v>0</v>
      </c>
      <c r="E675" s="18">
        <v>0</v>
      </c>
    </row>
    <row r="676" spans="1:5" x14ac:dyDescent="0.25">
      <c r="A676" s="18">
        <v>1975</v>
      </c>
      <c r="B676" s="18" t="s">
        <v>48</v>
      </c>
      <c r="C676" s="18">
        <v>11907</v>
      </c>
      <c r="D676" s="18">
        <v>6020</v>
      </c>
      <c r="E676" s="18">
        <v>5887</v>
      </c>
    </row>
    <row r="677" spans="1:5" x14ac:dyDescent="0.25">
      <c r="A677" s="18">
        <v>1976</v>
      </c>
      <c r="B677" s="18" t="s">
        <v>48</v>
      </c>
      <c r="C677" s="18">
        <v>0</v>
      </c>
      <c r="D677" s="18">
        <v>0</v>
      </c>
      <c r="E677" s="18">
        <v>0</v>
      </c>
    </row>
    <row r="678" spans="1:5" x14ac:dyDescent="0.25">
      <c r="A678" s="18">
        <v>1977</v>
      </c>
      <c r="B678" s="18" t="s">
        <v>48</v>
      </c>
      <c r="C678" s="18">
        <v>0</v>
      </c>
      <c r="D678" s="18">
        <v>0</v>
      </c>
      <c r="E678" s="18">
        <v>0</v>
      </c>
    </row>
    <row r="679" spans="1:5" x14ac:dyDescent="0.25">
      <c r="A679" s="18">
        <v>1978</v>
      </c>
      <c r="B679" s="18" t="s">
        <v>48</v>
      </c>
      <c r="C679" s="18">
        <v>0</v>
      </c>
      <c r="D679" s="18">
        <v>0</v>
      </c>
      <c r="E679" s="18">
        <v>0</v>
      </c>
    </row>
    <row r="680" spans="1:5" x14ac:dyDescent="0.25">
      <c r="A680" s="18">
        <v>1979</v>
      </c>
      <c r="B680" s="18" t="s">
        <v>48</v>
      </c>
      <c r="C680" s="18">
        <v>0</v>
      </c>
      <c r="D680" s="18">
        <v>0</v>
      </c>
      <c r="E680" s="18">
        <v>0</v>
      </c>
    </row>
    <row r="681" spans="1:5" x14ac:dyDescent="0.25">
      <c r="A681" s="18">
        <v>1980</v>
      </c>
      <c r="B681" s="18" t="s">
        <v>48</v>
      </c>
      <c r="C681" s="18">
        <v>13325</v>
      </c>
      <c r="D681" s="18">
        <v>6890</v>
      </c>
      <c r="E681" s="18">
        <v>6435</v>
      </c>
    </row>
    <row r="682" spans="1:5" x14ac:dyDescent="0.25">
      <c r="A682" s="18">
        <v>1981</v>
      </c>
      <c r="B682" s="18" t="s">
        <v>48</v>
      </c>
      <c r="C682" s="18">
        <v>0</v>
      </c>
      <c r="D682" s="18">
        <v>0</v>
      </c>
      <c r="E682" s="18">
        <v>0</v>
      </c>
    </row>
    <row r="683" spans="1:5" x14ac:dyDescent="0.25">
      <c r="A683" s="18">
        <v>1982</v>
      </c>
      <c r="B683" s="18" t="s">
        <v>48</v>
      </c>
      <c r="C683" s="18">
        <v>0</v>
      </c>
      <c r="D683" s="18">
        <v>0</v>
      </c>
      <c r="E683" s="18">
        <v>0</v>
      </c>
    </row>
    <row r="684" spans="1:5" x14ac:dyDescent="0.25">
      <c r="A684" s="18">
        <v>1983</v>
      </c>
      <c r="B684" s="18" t="s">
        <v>48</v>
      </c>
      <c r="C684" s="18">
        <v>0</v>
      </c>
      <c r="D684" s="18">
        <v>0</v>
      </c>
      <c r="E684" s="18">
        <v>0</v>
      </c>
    </row>
    <row r="685" spans="1:5" x14ac:dyDescent="0.25">
      <c r="A685" s="18">
        <v>1984</v>
      </c>
      <c r="B685" s="18" t="s">
        <v>48</v>
      </c>
      <c r="C685" s="18">
        <v>0</v>
      </c>
      <c r="D685" s="18">
        <v>0</v>
      </c>
      <c r="E685" s="18">
        <v>0</v>
      </c>
    </row>
    <row r="686" spans="1:5" x14ac:dyDescent="0.25">
      <c r="A686" s="18">
        <v>1985</v>
      </c>
      <c r="B686" s="18" t="s">
        <v>48</v>
      </c>
      <c r="C686" s="18">
        <v>16037</v>
      </c>
      <c r="D686" s="18">
        <v>8305</v>
      </c>
      <c r="E686" s="18">
        <v>7733</v>
      </c>
    </row>
    <row r="687" spans="1:5" x14ac:dyDescent="0.25">
      <c r="A687" s="18">
        <v>1986</v>
      </c>
      <c r="B687" s="18" t="s">
        <v>48</v>
      </c>
      <c r="C687" s="18">
        <v>0</v>
      </c>
      <c r="D687" s="18">
        <v>0</v>
      </c>
      <c r="E687" s="18">
        <v>0</v>
      </c>
    </row>
    <row r="688" spans="1:5" x14ac:dyDescent="0.25">
      <c r="A688" s="18">
        <v>1987</v>
      </c>
      <c r="B688" s="18" t="s">
        <v>48</v>
      </c>
      <c r="C688" s="18">
        <v>0</v>
      </c>
      <c r="D688" s="18">
        <v>0</v>
      </c>
      <c r="E688" s="18">
        <v>0</v>
      </c>
    </row>
    <row r="689" spans="1:5" x14ac:dyDescent="0.25">
      <c r="A689" s="18">
        <v>1988</v>
      </c>
      <c r="B689" s="18" t="s">
        <v>48</v>
      </c>
      <c r="C689" s="18">
        <v>0</v>
      </c>
      <c r="D689" s="18">
        <v>0</v>
      </c>
      <c r="E689" s="18">
        <v>0</v>
      </c>
    </row>
    <row r="690" spans="1:5" x14ac:dyDescent="0.25">
      <c r="A690" s="18">
        <v>1989</v>
      </c>
      <c r="B690" s="18" t="s">
        <v>48</v>
      </c>
      <c r="C690" s="18">
        <v>0</v>
      </c>
      <c r="D690" s="18">
        <v>0</v>
      </c>
      <c r="E690" s="18">
        <v>0</v>
      </c>
    </row>
    <row r="691" spans="1:5" x14ac:dyDescent="0.25">
      <c r="A691" s="18">
        <v>1990</v>
      </c>
      <c r="B691" s="18" t="s">
        <v>48</v>
      </c>
      <c r="C691" s="18">
        <v>19509</v>
      </c>
      <c r="D691" s="18">
        <v>9903</v>
      </c>
      <c r="E691" s="18">
        <v>9606</v>
      </c>
    </row>
    <row r="692" spans="1:5" x14ac:dyDescent="0.25">
      <c r="A692" s="18">
        <v>1991</v>
      </c>
      <c r="B692" s="18" t="s">
        <v>48</v>
      </c>
      <c r="C692" s="18">
        <v>0</v>
      </c>
      <c r="D692" s="18">
        <v>0</v>
      </c>
      <c r="E692" s="18">
        <v>0</v>
      </c>
    </row>
    <row r="693" spans="1:5" x14ac:dyDescent="0.25">
      <c r="A693" s="18">
        <v>1992</v>
      </c>
      <c r="B693" s="18" t="s">
        <v>48</v>
      </c>
      <c r="C693" s="18">
        <v>0</v>
      </c>
      <c r="D693" s="18">
        <v>0</v>
      </c>
      <c r="E693" s="18">
        <v>0</v>
      </c>
    </row>
    <row r="694" spans="1:5" x14ac:dyDescent="0.25">
      <c r="A694" s="18">
        <v>1993</v>
      </c>
      <c r="B694" s="18" t="s">
        <v>48</v>
      </c>
      <c r="C694" s="18">
        <v>0</v>
      </c>
      <c r="D694" s="18">
        <v>0</v>
      </c>
      <c r="E694" s="18">
        <v>0</v>
      </c>
    </row>
    <row r="695" spans="1:5" x14ac:dyDescent="0.25">
      <c r="A695" s="18">
        <v>1994</v>
      </c>
      <c r="B695" s="18" t="s">
        <v>48</v>
      </c>
      <c r="C695" s="18">
        <v>0</v>
      </c>
      <c r="D695" s="18">
        <v>0</v>
      </c>
      <c r="E695" s="18">
        <v>0</v>
      </c>
    </row>
    <row r="696" spans="1:5" x14ac:dyDescent="0.25">
      <c r="A696" s="18">
        <v>1995</v>
      </c>
      <c r="B696" s="18" t="s">
        <v>48</v>
      </c>
      <c r="C696" s="18">
        <v>0</v>
      </c>
      <c r="D696" s="18">
        <v>0</v>
      </c>
      <c r="E696" s="18">
        <v>0</v>
      </c>
    </row>
    <row r="697" spans="1:5" x14ac:dyDescent="0.25">
      <c r="A697" s="18">
        <v>1996</v>
      </c>
      <c r="B697" s="18" t="s">
        <v>48</v>
      </c>
      <c r="C697" s="18">
        <v>0</v>
      </c>
      <c r="D697" s="18">
        <v>0</v>
      </c>
      <c r="E697" s="18">
        <v>0</v>
      </c>
    </row>
    <row r="698" spans="1:5" x14ac:dyDescent="0.25">
      <c r="A698" s="18">
        <v>1997</v>
      </c>
      <c r="B698" s="18" t="s">
        <v>48</v>
      </c>
      <c r="C698" s="18">
        <v>0</v>
      </c>
      <c r="D698" s="18">
        <v>0</v>
      </c>
      <c r="E698" s="18">
        <v>0</v>
      </c>
    </row>
    <row r="699" spans="1:5" x14ac:dyDescent="0.25">
      <c r="A699" s="18">
        <v>1998</v>
      </c>
      <c r="B699" s="18" t="s">
        <v>48</v>
      </c>
      <c r="C699" s="18">
        <v>0</v>
      </c>
      <c r="D699" s="18">
        <v>0</v>
      </c>
      <c r="E699" s="18">
        <v>0</v>
      </c>
    </row>
    <row r="700" spans="1:5" x14ac:dyDescent="0.25">
      <c r="A700" s="18">
        <v>1999</v>
      </c>
      <c r="B700" s="18" t="s">
        <v>48</v>
      </c>
      <c r="C700" s="18">
        <v>0</v>
      </c>
      <c r="D700" s="18">
        <v>0</v>
      </c>
      <c r="E700" s="18">
        <v>0</v>
      </c>
    </row>
    <row r="701" spans="1:5" x14ac:dyDescent="0.25">
      <c r="A701" s="18">
        <v>2000</v>
      </c>
      <c r="B701" s="18" t="s">
        <v>48</v>
      </c>
      <c r="C701" s="18">
        <v>27252</v>
      </c>
      <c r="D701" s="18">
        <v>13943</v>
      </c>
      <c r="E701" s="18">
        <v>13310</v>
      </c>
    </row>
    <row r="702" spans="1:5" x14ac:dyDescent="0.25">
      <c r="A702" s="18">
        <v>2001</v>
      </c>
      <c r="B702" s="18" t="s">
        <v>48</v>
      </c>
      <c r="C702" s="18">
        <v>0</v>
      </c>
      <c r="D702" s="18">
        <v>0</v>
      </c>
      <c r="E702" s="18">
        <v>0</v>
      </c>
    </row>
    <row r="703" spans="1:5" x14ac:dyDescent="0.25">
      <c r="A703" s="18">
        <v>2002</v>
      </c>
      <c r="B703" s="18" t="s">
        <v>48</v>
      </c>
      <c r="C703" s="18">
        <v>0</v>
      </c>
      <c r="D703" s="18">
        <v>0</v>
      </c>
      <c r="E703" s="18">
        <v>0</v>
      </c>
    </row>
    <row r="704" spans="1:5" x14ac:dyDescent="0.25">
      <c r="A704" s="18">
        <v>2003</v>
      </c>
      <c r="B704" s="18" t="s">
        <v>48</v>
      </c>
      <c r="C704" s="18">
        <v>0</v>
      </c>
      <c r="D704" s="18">
        <v>0</v>
      </c>
      <c r="E704" s="18">
        <v>0</v>
      </c>
    </row>
    <row r="705" spans="1:5" x14ac:dyDescent="0.25">
      <c r="A705" s="18">
        <v>2004</v>
      </c>
      <c r="B705" s="18" t="s">
        <v>48</v>
      </c>
      <c r="C705" s="18">
        <v>0</v>
      </c>
      <c r="D705" s="18">
        <v>0</v>
      </c>
      <c r="E705" s="18">
        <v>0</v>
      </c>
    </row>
    <row r="706" spans="1:5" x14ac:dyDescent="0.25">
      <c r="A706" s="18">
        <v>2005</v>
      </c>
      <c r="B706" s="18" t="s">
        <v>48</v>
      </c>
      <c r="C706" s="18">
        <v>0</v>
      </c>
      <c r="D706" s="18">
        <v>0</v>
      </c>
      <c r="E706" s="18">
        <v>0</v>
      </c>
    </row>
    <row r="707" spans="1:5" x14ac:dyDescent="0.25">
      <c r="A707" s="18">
        <v>2006</v>
      </c>
      <c r="B707" s="18" t="s">
        <v>48</v>
      </c>
      <c r="C707" s="18">
        <v>0</v>
      </c>
      <c r="D707" s="18">
        <v>0</v>
      </c>
      <c r="E707" s="18">
        <v>0</v>
      </c>
    </row>
    <row r="708" spans="1:5" x14ac:dyDescent="0.25">
      <c r="A708" s="18">
        <v>2007</v>
      </c>
      <c r="B708" s="18" t="s">
        <v>48</v>
      </c>
      <c r="C708" s="18">
        <v>0</v>
      </c>
      <c r="D708" s="18">
        <v>0</v>
      </c>
      <c r="E708" s="18">
        <v>0</v>
      </c>
    </row>
    <row r="709" spans="1:5" x14ac:dyDescent="0.25">
      <c r="A709" s="18">
        <v>2008</v>
      </c>
      <c r="B709" s="18" t="s">
        <v>48</v>
      </c>
      <c r="C709" s="18">
        <v>0</v>
      </c>
      <c r="D709" s="18">
        <v>0</v>
      </c>
      <c r="E709" s="18">
        <v>0</v>
      </c>
    </row>
    <row r="710" spans="1:5" x14ac:dyDescent="0.25">
      <c r="A710" s="18">
        <v>1950</v>
      </c>
      <c r="B710" s="18" t="s">
        <v>4</v>
      </c>
      <c r="C710" s="18">
        <v>0</v>
      </c>
      <c r="D710" s="18">
        <v>0</v>
      </c>
      <c r="E710" s="18">
        <v>0</v>
      </c>
    </row>
    <row r="711" spans="1:5" x14ac:dyDescent="0.25">
      <c r="A711" s="18">
        <v>1951</v>
      </c>
      <c r="B711" s="18" t="s">
        <v>4</v>
      </c>
      <c r="C711" s="18">
        <v>0</v>
      </c>
      <c r="D711" s="18">
        <v>0</v>
      </c>
      <c r="E711" s="18">
        <v>0</v>
      </c>
    </row>
    <row r="712" spans="1:5" x14ac:dyDescent="0.25">
      <c r="A712" s="18">
        <v>1952</v>
      </c>
      <c r="B712" s="18" t="s">
        <v>4</v>
      </c>
      <c r="C712" s="18">
        <v>0</v>
      </c>
      <c r="D712" s="18">
        <v>0</v>
      </c>
      <c r="E712" s="18">
        <v>0</v>
      </c>
    </row>
    <row r="713" spans="1:5" x14ac:dyDescent="0.25">
      <c r="A713" s="18">
        <v>1953</v>
      </c>
      <c r="B713" s="18" t="s">
        <v>4</v>
      </c>
      <c r="C713" s="18">
        <v>0</v>
      </c>
      <c r="D713" s="18">
        <v>0</v>
      </c>
      <c r="E713" s="18">
        <v>0</v>
      </c>
    </row>
    <row r="714" spans="1:5" x14ac:dyDescent="0.25">
      <c r="A714" s="18">
        <v>1954</v>
      </c>
      <c r="B714" s="18" t="s">
        <v>4</v>
      </c>
      <c r="C714" s="18">
        <v>0</v>
      </c>
      <c r="D714" s="18">
        <v>0</v>
      </c>
      <c r="E714" s="18">
        <v>0</v>
      </c>
    </row>
    <row r="715" spans="1:5" x14ac:dyDescent="0.25">
      <c r="A715" s="18">
        <v>1955</v>
      </c>
      <c r="B715" s="18" t="s">
        <v>4</v>
      </c>
      <c r="C715" s="18">
        <v>0</v>
      </c>
      <c r="D715" s="18">
        <v>0</v>
      </c>
      <c r="E715" s="18">
        <v>0</v>
      </c>
    </row>
    <row r="716" spans="1:5" x14ac:dyDescent="0.25">
      <c r="A716" s="18">
        <v>1956</v>
      </c>
      <c r="B716" s="18" t="s">
        <v>4</v>
      </c>
      <c r="C716" s="18">
        <v>0</v>
      </c>
      <c r="D716" s="18">
        <v>0</v>
      </c>
      <c r="E716" s="18">
        <v>0</v>
      </c>
    </row>
    <row r="717" spans="1:5" x14ac:dyDescent="0.25">
      <c r="A717" s="18">
        <v>1957</v>
      </c>
      <c r="B717" s="18" t="s">
        <v>4</v>
      </c>
      <c r="C717" s="18">
        <v>0</v>
      </c>
      <c r="D717" s="18">
        <v>0</v>
      </c>
      <c r="E717" s="18">
        <v>0</v>
      </c>
    </row>
    <row r="718" spans="1:5" x14ac:dyDescent="0.25">
      <c r="A718" s="18">
        <v>1958</v>
      </c>
      <c r="B718" s="18" t="s">
        <v>4</v>
      </c>
      <c r="C718" s="18">
        <v>0</v>
      </c>
      <c r="D718" s="18">
        <v>0</v>
      </c>
      <c r="E718" s="18">
        <v>0</v>
      </c>
    </row>
    <row r="719" spans="1:5" x14ac:dyDescent="0.25">
      <c r="A719" s="18">
        <v>1959</v>
      </c>
      <c r="B719" s="18" t="s">
        <v>4</v>
      </c>
      <c r="C719" s="18">
        <v>0</v>
      </c>
      <c r="D719" s="18">
        <v>0</v>
      </c>
      <c r="E719" s="18">
        <v>0</v>
      </c>
    </row>
    <row r="720" spans="1:5" x14ac:dyDescent="0.25">
      <c r="A720" s="18">
        <v>1960</v>
      </c>
      <c r="B720" s="18" t="s">
        <v>4</v>
      </c>
      <c r="C720" s="18">
        <v>0</v>
      </c>
      <c r="D720" s="18">
        <v>0</v>
      </c>
      <c r="E720" s="18">
        <v>0</v>
      </c>
    </row>
    <row r="721" spans="1:5" x14ac:dyDescent="0.25">
      <c r="A721" s="18">
        <v>1961</v>
      </c>
      <c r="B721" s="18" t="s">
        <v>4</v>
      </c>
      <c r="C721" s="18">
        <v>0</v>
      </c>
      <c r="D721" s="18">
        <v>0</v>
      </c>
      <c r="E721" s="18">
        <v>0</v>
      </c>
    </row>
    <row r="722" spans="1:5" x14ac:dyDescent="0.25">
      <c r="A722" s="18">
        <v>1962</v>
      </c>
      <c r="B722" s="18" t="s">
        <v>4</v>
      </c>
      <c r="C722" s="18">
        <v>0</v>
      </c>
      <c r="D722" s="18">
        <v>0</v>
      </c>
      <c r="E722" s="18">
        <v>0</v>
      </c>
    </row>
    <row r="723" spans="1:5" x14ac:dyDescent="0.25">
      <c r="A723" s="18">
        <v>1963</v>
      </c>
      <c r="B723" s="18" t="s">
        <v>4</v>
      </c>
      <c r="C723" s="18">
        <v>0</v>
      </c>
      <c r="D723" s="18">
        <v>0</v>
      </c>
      <c r="E723" s="18">
        <v>0</v>
      </c>
    </row>
    <row r="724" spans="1:5" x14ac:dyDescent="0.25">
      <c r="A724" s="18">
        <v>1964</v>
      </c>
      <c r="B724" s="18" t="s">
        <v>4</v>
      </c>
      <c r="C724" s="18">
        <v>0</v>
      </c>
      <c r="D724" s="18">
        <v>0</v>
      </c>
      <c r="E724" s="18">
        <v>0</v>
      </c>
    </row>
    <row r="725" spans="1:5" x14ac:dyDescent="0.25">
      <c r="A725" s="18">
        <v>1965</v>
      </c>
      <c r="B725" s="18" t="s">
        <v>4</v>
      </c>
      <c r="C725" s="18">
        <v>0</v>
      </c>
      <c r="D725" s="18">
        <v>0</v>
      </c>
      <c r="E725" s="18">
        <v>0</v>
      </c>
    </row>
    <row r="726" spans="1:5" x14ac:dyDescent="0.25">
      <c r="A726" s="18">
        <v>1966</v>
      </c>
      <c r="B726" s="18" t="s">
        <v>4</v>
      </c>
      <c r="C726" s="18">
        <v>0</v>
      </c>
      <c r="D726" s="18">
        <v>0</v>
      </c>
      <c r="E726" s="18">
        <v>0</v>
      </c>
    </row>
    <row r="727" spans="1:5" x14ac:dyDescent="0.25">
      <c r="A727" s="18">
        <v>1967</v>
      </c>
      <c r="B727" s="18" t="s">
        <v>4</v>
      </c>
      <c r="C727" s="18">
        <v>0</v>
      </c>
      <c r="D727" s="18">
        <v>0</v>
      </c>
      <c r="E727" s="18">
        <v>0</v>
      </c>
    </row>
    <row r="728" spans="1:5" x14ac:dyDescent="0.25">
      <c r="A728" s="18">
        <v>1968</v>
      </c>
      <c r="B728" s="18" t="s">
        <v>4</v>
      </c>
      <c r="C728" s="18">
        <v>0</v>
      </c>
      <c r="D728" s="18">
        <v>0</v>
      </c>
      <c r="E728" s="18">
        <v>0</v>
      </c>
    </row>
    <row r="729" spans="1:5" x14ac:dyDescent="0.25">
      <c r="A729" s="18">
        <v>1969</v>
      </c>
      <c r="B729" s="18" t="s">
        <v>4</v>
      </c>
      <c r="C729" s="18">
        <v>0</v>
      </c>
      <c r="D729" s="18">
        <v>0</v>
      </c>
      <c r="E729" s="18">
        <v>0</v>
      </c>
    </row>
    <row r="730" spans="1:5" x14ac:dyDescent="0.25">
      <c r="A730" s="18">
        <v>1970</v>
      </c>
      <c r="B730" s="18" t="s">
        <v>4</v>
      </c>
      <c r="C730" s="18">
        <v>0</v>
      </c>
      <c r="D730" s="18">
        <v>0</v>
      </c>
      <c r="E730" s="18">
        <v>0</v>
      </c>
    </row>
    <row r="731" spans="1:5" x14ac:dyDescent="0.25">
      <c r="A731" s="18">
        <v>1971</v>
      </c>
      <c r="B731" s="18" t="s">
        <v>4</v>
      </c>
      <c r="C731" s="18">
        <v>0</v>
      </c>
      <c r="D731" s="18">
        <v>0</v>
      </c>
      <c r="E731" s="18">
        <v>0</v>
      </c>
    </row>
    <row r="732" spans="1:5" x14ac:dyDescent="0.25">
      <c r="A732" s="18">
        <v>1972</v>
      </c>
      <c r="B732" s="18" t="s">
        <v>4</v>
      </c>
      <c r="C732" s="18">
        <v>0</v>
      </c>
      <c r="D732" s="18">
        <v>0</v>
      </c>
      <c r="E732" s="18">
        <v>0</v>
      </c>
    </row>
    <row r="733" spans="1:5" x14ac:dyDescent="0.25">
      <c r="A733" s="18">
        <v>1973</v>
      </c>
      <c r="B733" s="18" t="s">
        <v>4</v>
      </c>
      <c r="C733" s="18">
        <v>0</v>
      </c>
      <c r="D733" s="18">
        <v>0</v>
      </c>
      <c r="E733" s="18">
        <v>0</v>
      </c>
    </row>
    <row r="734" spans="1:5" x14ac:dyDescent="0.25">
      <c r="A734" s="18">
        <v>1974</v>
      </c>
      <c r="B734" s="18" t="s">
        <v>4</v>
      </c>
      <c r="C734" s="18">
        <v>0</v>
      </c>
      <c r="D734" s="18">
        <v>0</v>
      </c>
      <c r="E734" s="18">
        <v>0</v>
      </c>
    </row>
    <row r="735" spans="1:5" x14ac:dyDescent="0.25">
      <c r="A735" s="18">
        <v>1975</v>
      </c>
      <c r="B735" s="18" t="s">
        <v>4</v>
      </c>
      <c r="C735" s="18">
        <v>0</v>
      </c>
      <c r="D735" s="18">
        <v>0</v>
      </c>
      <c r="E735" s="18">
        <v>0</v>
      </c>
    </row>
    <row r="736" spans="1:5" x14ac:dyDescent="0.25">
      <c r="A736" s="18">
        <v>1976</v>
      </c>
      <c r="B736" s="18" t="s">
        <v>4</v>
      </c>
      <c r="C736" s="18">
        <v>0</v>
      </c>
      <c r="D736" s="18">
        <v>0</v>
      </c>
      <c r="E736" s="18">
        <v>0</v>
      </c>
    </row>
    <row r="737" spans="1:5" x14ac:dyDescent="0.25">
      <c r="A737" s="18">
        <v>1977</v>
      </c>
      <c r="B737" s="18" t="s">
        <v>4</v>
      </c>
      <c r="C737" s="18">
        <v>0</v>
      </c>
      <c r="D737" s="18">
        <v>0</v>
      </c>
      <c r="E737" s="18">
        <v>0</v>
      </c>
    </row>
    <row r="738" spans="1:5" x14ac:dyDescent="0.25">
      <c r="A738" s="18">
        <v>1978</v>
      </c>
      <c r="B738" s="18" t="s">
        <v>4</v>
      </c>
      <c r="C738" s="18">
        <v>0</v>
      </c>
      <c r="D738" s="18">
        <v>0</v>
      </c>
      <c r="E738" s="18">
        <v>0</v>
      </c>
    </row>
    <row r="739" spans="1:5" x14ac:dyDescent="0.25">
      <c r="A739" s="18">
        <v>1979</v>
      </c>
      <c r="B739" s="18" t="s">
        <v>4</v>
      </c>
      <c r="C739" s="18">
        <v>0</v>
      </c>
      <c r="D739" s="18">
        <v>0</v>
      </c>
      <c r="E739" s="18">
        <v>0</v>
      </c>
    </row>
    <row r="740" spans="1:5" x14ac:dyDescent="0.25">
      <c r="A740" s="18">
        <v>1980</v>
      </c>
      <c r="B740" s="18" t="s">
        <v>4</v>
      </c>
      <c r="C740" s="18">
        <v>1045</v>
      </c>
      <c r="D740" s="18">
        <v>569</v>
      </c>
      <c r="E740" s="18">
        <v>476</v>
      </c>
    </row>
    <row r="741" spans="1:5" x14ac:dyDescent="0.25">
      <c r="A741" s="18">
        <v>1981</v>
      </c>
      <c r="B741" s="18" t="s">
        <v>4</v>
      </c>
      <c r="C741" s="18">
        <v>0</v>
      </c>
      <c r="D741" s="18">
        <v>0</v>
      </c>
      <c r="E741" s="18">
        <v>0</v>
      </c>
    </row>
    <row r="742" spans="1:5" x14ac:dyDescent="0.25">
      <c r="A742" s="18">
        <v>1982</v>
      </c>
      <c r="B742" s="18" t="s">
        <v>4</v>
      </c>
      <c r="C742" s="18">
        <v>0</v>
      </c>
      <c r="D742" s="18">
        <v>0</v>
      </c>
      <c r="E742" s="18">
        <v>0</v>
      </c>
    </row>
    <row r="743" spans="1:5" x14ac:dyDescent="0.25">
      <c r="A743" s="18">
        <v>1983</v>
      </c>
      <c r="B743" s="18" t="s">
        <v>4</v>
      </c>
      <c r="C743" s="18">
        <v>0</v>
      </c>
      <c r="D743" s="18">
        <v>0</v>
      </c>
      <c r="E743" s="18">
        <v>0</v>
      </c>
    </row>
    <row r="744" spans="1:5" x14ac:dyDescent="0.25">
      <c r="A744" s="18">
        <v>1984</v>
      </c>
      <c r="B744" s="18" t="s">
        <v>4</v>
      </c>
      <c r="C744" s="18">
        <v>0</v>
      </c>
      <c r="D744" s="18">
        <v>0</v>
      </c>
      <c r="E744" s="18">
        <v>0</v>
      </c>
    </row>
    <row r="745" spans="1:5" x14ac:dyDescent="0.25">
      <c r="A745" s="18">
        <v>1985</v>
      </c>
      <c r="B745" s="18" t="s">
        <v>4</v>
      </c>
      <c r="C745" s="18">
        <v>1407</v>
      </c>
      <c r="D745" s="18">
        <v>768</v>
      </c>
      <c r="E745" s="18">
        <v>630</v>
      </c>
    </row>
    <row r="746" spans="1:5" x14ac:dyDescent="0.25">
      <c r="A746" s="18">
        <v>1986</v>
      </c>
      <c r="B746" s="18" t="s">
        <v>4</v>
      </c>
      <c r="C746" s="18">
        <v>0</v>
      </c>
      <c r="D746" s="18">
        <v>0</v>
      </c>
      <c r="E746" s="18">
        <v>0</v>
      </c>
    </row>
    <row r="747" spans="1:5" x14ac:dyDescent="0.25">
      <c r="A747" s="18">
        <v>1987</v>
      </c>
      <c r="B747" s="18" t="s">
        <v>4</v>
      </c>
      <c r="C747" s="18">
        <v>0</v>
      </c>
      <c r="D747" s="18">
        <v>0</v>
      </c>
      <c r="E747" s="18">
        <v>0</v>
      </c>
    </row>
    <row r="748" spans="1:5" x14ac:dyDescent="0.25">
      <c r="A748" s="18">
        <v>1988</v>
      </c>
      <c r="B748" s="18" t="s">
        <v>4</v>
      </c>
      <c r="C748" s="18">
        <v>0</v>
      </c>
      <c r="D748" s="18">
        <v>0</v>
      </c>
      <c r="E748" s="18">
        <v>0</v>
      </c>
    </row>
    <row r="749" spans="1:5" x14ac:dyDescent="0.25">
      <c r="A749" s="18">
        <v>1989</v>
      </c>
      <c r="B749" s="18" t="s">
        <v>4</v>
      </c>
      <c r="C749" s="18">
        <v>0</v>
      </c>
      <c r="D749" s="18">
        <v>0</v>
      </c>
      <c r="E749" s="18">
        <v>0</v>
      </c>
    </row>
    <row r="750" spans="1:5" x14ac:dyDescent="0.25">
      <c r="A750" s="18">
        <v>1990</v>
      </c>
      <c r="B750" s="18" t="s">
        <v>4</v>
      </c>
      <c r="C750" s="18">
        <v>1974</v>
      </c>
      <c r="D750" s="18">
        <v>1033</v>
      </c>
      <c r="E750" s="18">
        <v>941</v>
      </c>
    </row>
    <row r="751" spans="1:5" x14ac:dyDescent="0.25">
      <c r="A751" s="18">
        <v>1991</v>
      </c>
      <c r="B751" s="18" t="s">
        <v>4</v>
      </c>
      <c r="C751" s="18">
        <v>0</v>
      </c>
      <c r="D751" s="18">
        <v>0</v>
      </c>
      <c r="E751" s="18">
        <v>0</v>
      </c>
    </row>
    <row r="752" spans="1:5" x14ac:dyDescent="0.25">
      <c r="A752" s="18">
        <v>1992</v>
      </c>
      <c r="B752" s="18" t="s">
        <v>4</v>
      </c>
      <c r="C752" s="18">
        <v>0</v>
      </c>
      <c r="D752" s="18">
        <v>0</v>
      </c>
      <c r="E752" s="18">
        <v>0</v>
      </c>
    </row>
    <row r="753" spans="1:5" x14ac:dyDescent="0.25">
      <c r="A753" s="18">
        <v>1993</v>
      </c>
      <c r="B753" s="18" t="s">
        <v>4</v>
      </c>
      <c r="C753" s="18">
        <v>0</v>
      </c>
      <c r="D753" s="18">
        <v>0</v>
      </c>
      <c r="E753" s="18">
        <v>0</v>
      </c>
    </row>
    <row r="754" spans="1:5" x14ac:dyDescent="0.25">
      <c r="A754" s="18">
        <v>1994</v>
      </c>
      <c r="B754" s="18" t="s">
        <v>4</v>
      </c>
      <c r="C754" s="18">
        <v>0</v>
      </c>
      <c r="D754" s="18">
        <v>0</v>
      </c>
      <c r="E754" s="18">
        <v>0</v>
      </c>
    </row>
    <row r="755" spans="1:5" x14ac:dyDescent="0.25">
      <c r="A755" s="18">
        <v>1995</v>
      </c>
      <c r="B755" s="18" t="s">
        <v>4</v>
      </c>
      <c r="C755" s="18">
        <v>0</v>
      </c>
      <c r="D755" s="18">
        <v>0</v>
      </c>
      <c r="E755" s="18">
        <v>0</v>
      </c>
    </row>
    <row r="756" spans="1:5" x14ac:dyDescent="0.25">
      <c r="A756" s="18">
        <v>1996</v>
      </c>
      <c r="B756" s="18" t="s">
        <v>4</v>
      </c>
      <c r="C756" s="18">
        <v>0</v>
      </c>
      <c r="D756" s="18">
        <v>0</v>
      </c>
      <c r="E756" s="18">
        <v>0</v>
      </c>
    </row>
    <row r="757" spans="1:5" x14ac:dyDescent="0.25">
      <c r="A757" s="18">
        <v>1997</v>
      </c>
      <c r="B757" s="18" t="s">
        <v>4</v>
      </c>
      <c r="C757" s="18">
        <v>0</v>
      </c>
      <c r="D757" s="18">
        <v>0</v>
      </c>
      <c r="E757" s="18">
        <v>0</v>
      </c>
    </row>
    <row r="758" spans="1:5" x14ac:dyDescent="0.25">
      <c r="A758" s="18">
        <v>1998</v>
      </c>
      <c r="B758" s="18" t="s">
        <v>4</v>
      </c>
      <c r="C758" s="18">
        <v>0</v>
      </c>
      <c r="D758" s="18">
        <v>0</v>
      </c>
      <c r="E758" s="18">
        <v>0</v>
      </c>
    </row>
    <row r="759" spans="1:5" x14ac:dyDescent="0.25">
      <c r="A759" s="18">
        <v>1999</v>
      </c>
      <c r="B759" s="18" t="s">
        <v>4</v>
      </c>
      <c r="C759" s="18">
        <v>0</v>
      </c>
      <c r="D759" s="18">
        <v>0</v>
      </c>
      <c r="E759" s="18">
        <v>0</v>
      </c>
    </row>
    <row r="760" spans="1:5" x14ac:dyDescent="0.25">
      <c r="A760" s="18">
        <v>2000</v>
      </c>
      <c r="B760" s="18" t="s">
        <v>4</v>
      </c>
      <c r="C760" s="18">
        <v>4047</v>
      </c>
      <c r="D760" s="18">
        <v>2138</v>
      </c>
      <c r="E760" s="18">
        <v>1909</v>
      </c>
    </row>
    <row r="761" spans="1:5" x14ac:dyDescent="0.25">
      <c r="A761" s="18">
        <v>2001</v>
      </c>
      <c r="B761" s="18" t="s">
        <v>4</v>
      </c>
      <c r="C761" s="18">
        <v>0</v>
      </c>
      <c r="D761" s="18">
        <v>0</v>
      </c>
      <c r="E761" s="18">
        <v>0</v>
      </c>
    </row>
    <row r="762" spans="1:5" x14ac:dyDescent="0.25">
      <c r="A762" s="18">
        <v>2002</v>
      </c>
      <c r="B762" s="18" t="s">
        <v>4</v>
      </c>
      <c r="C762" s="18">
        <v>0</v>
      </c>
      <c r="D762" s="18">
        <v>0</v>
      </c>
      <c r="E762" s="18">
        <v>0</v>
      </c>
    </row>
    <row r="763" spans="1:5" x14ac:dyDescent="0.25">
      <c r="A763" s="18">
        <v>2003</v>
      </c>
      <c r="B763" s="18" t="s">
        <v>4</v>
      </c>
      <c r="C763" s="18">
        <v>0</v>
      </c>
      <c r="D763" s="18">
        <v>0</v>
      </c>
      <c r="E763" s="18">
        <v>0</v>
      </c>
    </row>
    <row r="764" spans="1:5" x14ac:dyDescent="0.25">
      <c r="A764" s="18">
        <v>2004</v>
      </c>
      <c r="B764" s="18" t="s">
        <v>4</v>
      </c>
      <c r="C764" s="18">
        <v>0</v>
      </c>
      <c r="D764" s="18">
        <v>0</v>
      </c>
      <c r="E764" s="18">
        <v>0</v>
      </c>
    </row>
    <row r="765" spans="1:5" x14ac:dyDescent="0.25">
      <c r="A765" s="18">
        <v>2005</v>
      </c>
      <c r="B765" s="18" t="s">
        <v>4</v>
      </c>
      <c r="C765" s="18">
        <v>0</v>
      </c>
      <c r="D765" s="18">
        <v>0</v>
      </c>
      <c r="E765" s="18">
        <v>0</v>
      </c>
    </row>
    <row r="766" spans="1:5" x14ac:dyDescent="0.25">
      <c r="A766" s="18">
        <v>2006</v>
      </c>
      <c r="B766" s="18" t="s">
        <v>4</v>
      </c>
      <c r="C766" s="18">
        <v>0</v>
      </c>
      <c r="D766" s="18">
        <v>0</v>
      </c>
      <c r="E766" s="18">
        <v>0</v>
      </c>
    </row>
    <row r="767" spans="1:5" x14ac:dyDescent="0.25">
      <c r="A767" s="18">
        <v>2007</v>
      </c>
      <c r="B767" s="18" t="s">
        <v>4</v>
      </c>
      <c r="C767" s="18">
        <v>0</v>
      </c>
      <c r="D767" s="18">
        <v>0</v>
      </c>
      <c r="E767" s="18">
        <v>0</v>
      </c>
    </row>
    <row r="768" spans="1:5" x14ac:dyDescent="0.25">
      <c r="A768" s="18">
        <v>2008</v>
      </c>
      <c r="B768" s="18" t="s">
        <v>4</v>
      </c>
      <c r="C768" s="18">
        <v>0</v>
      </c>
      <c r="D768" s="18">
        <v>0</v>
      </c>
      <c r="E768" s="18">
        <v>0</v>
      </c>
    </row>
    <row r="769" spans="1:5" x14ac:dyDescent="0.25">
      <c r="A769" s="18">
        <v>1950</v>
      </c>
      <c r="B769" s="18" t="s">
        <v>53</v>
      </c>
      <c r="C769" s="18">
        <v>0</v>
      </c>
      <c r="D769" s="18">
        <v>0</v>
      </c>
      <c r="E769" s="18">
        <v>0</v>
      </c>
    </row>
    <row r="770" spans="1:5" x14ac:dyDescent="0.25">
      <c r="A770" s="18">
        <v>1951</v>
      </c>
      <c r="B770" s="18" t="s">
        <v>53</v>
      </c>
      <c r="C770" s="18">
        <v>0</v>
      </c>
      <c r="D770" s="18">
        <v>0</v>
      </c>
      <c r="E770" s="18">
        <v>0</v>
      </c>
    </row>
    <row r="771" spans="1:5" x14ac:dyDescent="0.25">
      <c r="A771" s="18">
        <v>1952</v>
      </c>
      <c r="B771" s="18" t="s">
        <v>53</v>
      </c>
      <c r="C771" s="18">
        <v>0</v>
      </c>
      <c r="D771" s="18">
        <v>0</v>
      </c>
      <c r="E771" s="18">
        <v>0</v>
      </c>
    </row>
    <row r="772" spans="1:5" x14ac:dyDescent="0.25">
      <c r="A772" s="18">
        <v>1953</v>
      </c>
      <c r="B772" s="18" t="s">
        <v>53</v>
      </c>
      <c r="C772" s="18">
        <v>0</v>
      </c>
      <c r="D772" s="18">
        <v>0</v>
      </c>
      <c r="E772" s="18">
        <v>0</v>
      </c>
    </row>
    <row r="773" spans="1:5" x14ac:dyDescent="0.25">
      <c r="A773" s="18">
        <v>1954</v>
      </c>
      <c r="B773" s="18" t="s">
        <v>53</v>
      </c>
      <c r="C773" s="18">
        <v>0</v>
      </c>
      <c r="D773" s="18">
        <v>0</v>
      </c>
      <c r="E773" s="18">
        <v>0</v>
      </c>
    </row>
    <row r="774" spans="1:5" x14ac:dyDescent="0.25">
      <c r="A774" s="18">
        <v>1955</v>
      </c>
      <c r="B774" s="18" t="s">
        <v>53</v>
      </c>
      <c r="C774" s="18">
        <v>0</v>
      </c>
      <c r="D774" s="18">
        <v>0</v>
      </c>
      <c r="E774" s="18">
        <v>0</v>
      </c>
    </row>
    <row r="775" spans="1:5" x14ac:dyDescent="0.25">
      <c r="A775" s="18">
        <v>1956</v>
      </c>
      <c r="B775" s="18" t="s">
        <v>53</v>
      </c>
      <c r="C775" s="18">
        <v>0</v>
      </c>
      <c r="D775" s="18">
        <v>0</v>
      </c>
      <c r="E775" s="18">
        <v>0</v>
      </c>
    </row>
    <row r="776" spans="1:5" x14ac:dyDescent="0.25">
      <c r="A776" s="18">
        <v>1957</v>
      </c>
      <c r="B776" s="18" t="s">
        <v>53</v>
      </c>
      <c r="C776" s="18">
        <v>0</v>
      </c>
      <c r="D776" s="18">
        <v>0</v>
      </c>
      <c r="E776" s="18">
        <v>0</v>
      </c>
    </row>
    <row r="777" spans="1:5" x14ac:dyDescent="0.25">
      <c r="A777" s="18">
        <v>1958</v>
      </c>
      <c r="B777" s="18" t="s">
        <v>53</v>
      </c>
      <c r="C777" s="18">
        <v>0</v>
      </c>
      <c r="D777" s="18">
        <v>0</v>
      </c>
      <c r="E777" s="18">
        <v>0</v>
      </c>
    </row>
    <row r="778" spans="1:5" x14ac:dyDescent="0.25">
      <c r="A778" s="18">
        <v>1959</v>
      </c>
      <c r="B778" s="18" t="s">
        <v>53</v>
      </c>
      <c r="C778" s="18">
        <v>0</v>
      </c>
      <c r="D778" s="18">
        <v>0</v>
      </c>
      <c r="E778" s="18">
        <v>0</v>
      </c>
    </row>
    <row r="779" spans="1:5" x14ac:dyDescent="0.25">
      <c r="A779" s="18">
        <v>1960</v>
      </c>
      <c r="B779" s="18" t="s">
        <v>53</v>
      </c>
      <c r="C779" s="18">
        <v>0</v>
      </c>
      <c r="D779" s="18">
        <v>0</v>
      </c>
      <c r="E779" s="18">
        <v>0</v>
      </c>
    </row>
    <row r="780" spans="1:5" x14ac:dyDescent="0.25">
      <c r="A780" s="18">
        <v>1961</v>
      </c>
      <c r="B780" s="18" t="s">
        <v>53</v>
      </c>
      <c r="C780" s="18">
        <v>0</v>
      </c>
      <c r="D780" s="18">
        <v>0</v>
      </c>
      <c r="E780" s="18">
        <v>0</v>
      </c>
    </row>
    <row r="781" spans="1:5" x14ac:dyDescent="0.25">
      <c r="A781" s="18">
        <v>1962</v>
      </c>
      <c r="B781" s="18" t="s">
        <v>53</v>
      </c>
      <c r="C781" s="18">
        <v>0</v>
      </c>
      <c r="D781" s="18">
        <v>0</v>
      </c>
      <c r="E781" s="18">
        <v>0</v>
      </c>
    </row>
    <row r="782" spans="1:5" x14ac:dyDescent="0.25">
      <c r="A782" s="18">
        <v>1963</v>
      </c>
      <c r="B782" s="18" t="s">
        <v>53</v>
      </c>
      <c r="C782" s="18">
        <v>0</v>
      </c>
      <c r="D782" s="18">
        <v>0</v>
      </c>
      <c r="E782" s="18">
        <v>0</v>
      </c>
    </row>
    <row r="783" spans="1:5" x14ac:dyDescent="0.25">
      <c r="A783" s="18">
        <v>1964</v>
      </c>
      <c r="B783" s="18" t="s">
        <v>53</v>
      </c>
      <c r="C783" s="18">
        <v>0</v>
      </c>
      <c r="D783" s="18">
        <v>0</v>
      </c>
      <c r="E783" s="18">
        <v>0</v>
      </c>
    </row>
    <row r="784" spans="1:5" x14ac:dyDescent="0.25">
      <c r="A784" s="18">
        <v>1965</v>
      </c>
      <c r="B784" s="18" t="s">
        <v>53</v>
      </c>
      <c r="C784" s="18">
        <v>0</v>
      </c>
      <c r="D784" s="18">
        <v>0</v>
      </c>
      <c r="E784" s="18">
        <v>0</v>
      </c>
    </row>
    <row r="785" spans="1:5" x14ac:dyDescent="0.25">
      <c r="A785" s="18">
        <v>1966</v>
      </c>
      <c r="B785" s="18" t="s">
        <v>53</v>
      </c>
      <c r="C785" s="18">
        <v>0</v>
      </c>
      <c r="D785" s="18">
        <v>0</v>
      </c>
      <c r="E785" s="18">
        <v>0</v>
      </c>
    </row>
    <row r="786" spans="1:5" x14ac:dyDescent="0.25">
      <c r="A786" s="18">
        <v>1967</v>
      </c>
      <c r="B786" s="18" t="s">
        <v>53</v>
      </c>
      <c r="C786" s="18">
        <v>0</v>
      </c>
      <c r="D786" s="18">
        <v>0</v>
      </c>
      <c r="E786" s="18">
        <v>0</v>
      </c>
    </row>
    <row r="787" spans="1:5" x14ac:dyDescent="0.25">
      <c r="A787" s="18">
        <v>1968</v>
      </c>
      <c r="B787" s="18" t="s">
        <v>53</v>
      </c>
      <c r="C787" s="18">
        <v>0</v>
      </c>
      <c r="D787" s="18">
        <v>0</v>
      </c>
      <c r="E787" s="18">
        <v>0</v>
      </c>
    </row>
    <row r="788" spans="1:5" x14ac:dyDescent="0.25">
      <c r="A788" s="18">
        <v>1969</v>
      </c>
      <c r="B788" s="18" t="s">
        <v>53</v>
      </c>
      <c r="C788" s="18">
        <v>0</v>
      </c>
      <c r="D788" s="18">
        <v>0</v>
      </c>
      <c r="E788" s="18">
        <v>0</v>
      </c>
    </row>
    <row r="789" spans="1:5" x14ac:dyDescent="0.25">
      <c r="A789" s="18">
        <v>1970</v>
      </c>
      <c r="B789" s="18" t="s">
        <v>53</v>
      </c>
      <c r="C789" s="18">
        <v>0</v>
      </c>
      <c r="D789" s="18">
        <v>0</v>
      </c>
      <c r="E789" s="18">
        <v>0</v>
      </c>
    </row>
    <row r="790" spans="1:5" x14ac:dyDescent="0.25">
      <c r="A790" s="18">
        <v>1971</v>
      </c>
      <c r="B790" s="18" t="s">
        <v>53</v>
      </c>
      <c r="C790" s="18">
        <v>0</v>
      </c>
      <c r="D790" s="18">
        <v>0</v>
      </c>
      <c r="E790" s="18">
        <v>0</v>
      </c>
    </row>
    <row r="791" spans="1:5" x14ac:dyDescent="0.25">
      <c r="A791" s="18">
        <v>1972</v>
      </c>
      <c r="B791" s="18" t="s">
        <v>53</v>
      </c>
      <c r="C791" s="18">
        <v>0</v>
      </c>
      <c r="D791" s="18">
        <v>0</v>
      </c>
      <c r="E791" s="18">
        <v>0</v>
      </c>
    </row>
    <row r="792" spans="1:5" x14ac:dyDescent="0.25">
      <c r="A792" s="18">
        <v>1973</v>
      </c>
      <c r="B792" s="18" t="s">
        <v>53</v>
      </c>
      <c r="C792" s="18">
        <v>0</v>
      </c>
      <c r="D792" s="18">
        <v>0</v>
      </c>
      <c r="E792" s="18">
        <v>0</v>
      </c>
    </row>
    <row r="793" spans="1:5" x14ac:dyDescent="0.25">
      <c r="A793" s="18">
        <v>1974</v>
      </c>
      <c r="B793" s="18" t="s">
        <v>53</v>
      </c>
      <c r="C793" s="18">
        <v>0</v>
      </c>
      <c r="D793" s="18">
        <v>0</v>
      </c>
      <c r="E793" s="18">
        <v>0</v>
      </c>
    </row>
    <row r="794" spans="1:5" x14ac:dyDescent="0.25">
      <c r="A794" s="18">
        <v>1975</v>
      </c>
      <c r="B794" s="18" t="s">
        <v>53</v>
      </c>
      <c r="C794" s="18">
        <v>6310</v>
      </c>
      <c r="D794" s="18">
        <v>3322</v>
      </c>
      <c r="E794" s="18">
        <v>2988</v>
      </c>
    </row>
    <row r="795" spans="1:5" x14ac:dyDescent="0.25">
      <c r="A795" s="18">
        <v>1976</v>
      </c>
      <c r="B795" s="18" t="s">
        <v>53</v>
      </c>
      <c r="C795" s="18">
        <v>0</v>
      </c>
      <c r="D795" s="18">
        <v>0</v>
      </c>
      <c r="E795" s="18">
        <v>0</v>
      </c>
    </row>
    <row r="796" spans="1:5" x14ac:dyDescent="0.25">
      <c r="A796" s="18">
        <v>1977</v>
      </c>
      <c r="B796" s="18" t="s">
        <v>53</v>
      </c>
      <c r="C796" s="18">
        <v>0</v>
      </c>
      <c r="D796" s="18">
        <v>0</v>
      </c>
      <c r="E796" s="18">
        <v>0</v>
      </c>
    </row>
    <row r="797" spans="1:5" x14ac:dyDescent="0.25">
      <c r="A797" s="18">
        <v>1978</v>
      </c>
      <c r="B797" s="18" t="s">
        <v>53</v>
      </c>
      <c r="C797" s="18">
        <v>0</v>
      </c>
      <c r="D797" s="18">
        <v>0</v>
      </c>
      <c r="E797" s="18">
        <v>0</v>
      </c>
    </row>
    <row r="798" spans="1:5" x14ac:dyDescent="0.25">
      <c r="A798" s="18">
        <v>1979</v>
      </c>
      <c r="B798" s="18" t="s">
        <v>53</v>
      </c>
      <c r="C798" s="18">
        <v>0</v>
      </c>
      <c r="D798" s="18">
        <v>0</v>
      </c>
      <c r="E798" s="18">
        <v>0</v>
      </c>
    </row>
    <row r="799" spans="1:5" x14ac:dyDescent="0.25">
      <c r="A799" s="18">
        <v>1980</v>
      </c>
      <c r="B799" s="18" t="s">
        <v>53</v>
      </c>
      <c r="C799" s="18">
        <v>6153</v>
      </c>
      <c r="D799" s="18">
        <v>3221</v>
      </c>
      <c r="E799" s="18">
        <v>2932</v>
      </c>
    </row>
    <row r="800" spans="1:5" x14ac:dyDescent="0.25">
      <c r="A800" s="18">
        <v>1981</v>
      </c>
      <c r="B800" s="18" t="s">
        <v>53</v>
      </c>
      <c r="C800" s="18">
        <v>0</v>
      </c>
      <c r="D800" s="18">
        <v>0</v>
      </c>
      <c r="E800" s="18">
        <v>0</v>
      </c>
    </row>
    <row r="801" spans="1:5" x14ac:dyDescent="0.25">
      <c r="A801" s="18">
        <v>1982</v>
      </c>
      <c r="B801" s="18" t="s">
        <v>53</v>
      </c>
      <c r="C801" s="18">
        <v>0</v>
      </c>
      <c r="D801" s="18">
        <v>0</v>
      </c>
      <c r="E801" s="18">
        <v>0</v>
      </c>
    </row>
    <row r="802" spans="1:5" x14ac:dyDescent="0.25">
      <c r="A802" s="18">
        <v>1983</v>
      </c>
      <c r="B802" s="18" t="s">
        <v>53</v>
      </c>
      <c r="C802" s="18">
        <v>0</v>
      </c>
      <c r="D802" s="18">
        <v>0</v>
      </c>
      <c r="E802" s="18">
        <v>0</v>
      </c>
    </row>
    <row r="803" spans="1:5" x14ac:dyDescent="0.25">
      <c r="A803" s="18">
        <v>1984</v>
      </c>
      <c r="B803" s="18" t="s">
        <v>53</v>
      </c>
      <c r="C803" s="18">
        <v>0</v>
      </c>
      <c r="D803" s="18">
        <v>0</v>
      </c>
      <c r="E803" s="18">
        <v>0</v>
      </c>
    </row>
    <row r="804" spans="1:5" x14ac:dyDescent="0.25">
      <c r="A804" s="18">
        <v>1985</v>
      </c>
      <c r="B804" s="18" t="s">
        <v>53</v>
      </c>
      <c r="C804" s="18">
        <v>7200</v>
      </c>
      <c r="D804" s="18">
        <v>3698</v>
      </c>
      <c r="E804" s="18">
        <v>3502</v>
      </c>
    </row>
    <row r="805" spans="1:5" x14ac:dyDescent="0.25">
      <c r="A805" s="18">
        <v>1986</v>
      </c>
      <c r="B805" s="18" t="s">
        <v>53</v>
      </c>
      <c r="C805" s="18">
        <v>0</v>
      </c>
      <c r="D805" s="18">
        <v>0</v>
      </c>
      <c r="E805" s="18">
        <v>0</v>
      </c>
    </row>
    <row r="806" spans="1:5" x14ac:dyDescent="0.25">
      <c r="A806" s="18">
        <v>1987</v>
      </c>
      <c r="B806" s="18" t="s">
        <v>53</v>
      </c>
      <c r="C806" s="18">
        <v>0</v>
      </c>
      <c r="D806" s="18">
        <v>0</v>
      </c>
      <c r="E806" s="18">
        <v>0</v>
      </c>
    </row>
    <row r="807" spans="1:5" x14ac:dyDescent="0.25">
      <c r="A807" s="18">
        <v>1988</v>
      </c>
      <c r="B807" s="18" t="s">
        <v>53</v>
      </c>
      <c r="C807" s="18">
        <v>0</v>
      </c>
      <c r="D807" s="18">
        <v>0</v>
      </c>
      <c r="E807" s="18">
        <v>0</v>
      </c>
    </row>
    <row r="808" spans="1:5" x14ac:dyDescent="0.25">
      <c r="A808" s="18">
        <v>1989</v>
      </c>
      <c r="B808" s="18" t="s">
        <v>53</v>
      </c>
      <c r="C808" s="18">
        <v>0</v>
      </c>
      <c r="D808" s="18">
        <v>0</v>
      </c>
      <c r="E808" s="18">
        <v>0</v>
      </c>
    </row>
    <row r="809" spans="1:5" x14ac:dyDescent="0.25">
      <c r="A809" s="18">
        <v>1990</v>
      </c>
      <c r="B809" s="18" t="s">
        <v>53</v>
      </c>
      <c r="C809" s="18">
        <v>8694</v>
      </c>
      <c r="D809" s="18">
        <v>4479</v>
      </c>
      <c r="E809" s="18">
        <v>4215</v>
      </c>
    </row>
    <row r="810" spans="1:5" x14ac:dyDescent="0.25">
      <c r="A810" s="18">
        <v>1991</v>
      </c>
      <c r="B810" s="18" t="s">
        <v>53</v>
      </c>
      <c r="C810" s="18">
        <v>0</v>
      </c>
      <c r="D810" s="18">
        <v>0</v>
      </c>
      <c r="E810" s="18">
        <v>0</v>
      </c>
    </row>
    <row r="811" spans="1:5" x14ac:dyDescent="0.25">
      <c r="A811" s="18">
        <v>1992</v>
      </c>
      <c r="B811" s="18" t="s">
        <v>53</v>
      </c>
      <c r="C811" s="18">
        <v>0</v>
      </c>
      <c r="D811" s="18">
        <v>0</v>
      </c>
      <c r="E811" s="18">
        <v>0</v>
      </c>
    </row>
    <row r="812" spans="1:5" x14ac:dyDescent="0.25">
      <c r="A812" s="18">
        <v>1993</v>
      </c>
      <c r="B812" s="18" t="s">
        <v>53</v>
      </c>
      <c r="C812" s="18">
        <v>0</v>
      </c>
      <c r="D812" s="18">
        <v>0</v>
      </c>
      <c r="E812" s="18">
        <v>0</v>
      </c>
    </row>
    <row r="813" spans="1:5" x14ac:dyDescent="0.25">
      <c r="A813" s="18">
        <v>1994</v>
      </c>
      <c r="B813" s="18" t="s">
        <v>53</v>
      </c>
      <c r="C813" s="18">
        <v>0</v>
      </c>
      <c r="D813" s="18">
        <v>0</v>
      </c>
      <c r="E813" s="18">
        <v>0</v>
      </c>
    </row>
    <row r="814" spans="1:5" x14ac:dyDescent="0.25">
      <c r="A814" s="18">
        <v>1995</v>
      </c>
      <c r="B814" s="18" t="s">
        <v>53</v>
      </c>
      <c r="C814" s="18">
        <v>0</v>
      </c>
      <c r="D814" s="18">
        <v>0</v>
      </c>
      <c r="E814" s="18">
        <v>0</v>
      </c>
    </row>
    <row r="815" spans="1:5" x14ac:dyDescent="0.25">
      <c r="A815" s="18">
        <v>1996</v>
      </c>
      <c r="B815" s="18" t="s">
        <v>53</v>
      </c>
      <c r="C815" s="18">
        <v>0</v>
      </c>
      <c r="D815" s="18">
        <v>0</v>
      </c>
      <c r="E815" s="18">
        <v>0</v>
      </c>
    </row>
    <row r="816" spans="1:5" x14ac:dyDescent="0.25">
      <c r="A816" s="18">
        <v>1997</v>
      </c>
      <c r="B816" s="18" t="s">
        <v>53</v>
      </c>
      <c r="C816" s="18">
        <v>0</v>
      </c>
      <c r="D816" s="18">
        <v>0</v>
      </c>
      <c r="E816" s="18">
        <v>0</v>
      </c>
    </row>
    <row r="817" spans="1:5" x14ac:dyDescent="0.25">
      <c r="A817" s="18">
        <v>1998</v>
      </c>
      <c r="B817" s="18" t="s">
        <v>53</v>
      </c>
      <c r="C817" s="18">
        <v>0</v>
      </c>
      <c r="D817" s="18">
        <v>0</v>
      </c>
      <c r="E817" s="18">
        <v>0</v>
      </c>
    </row>
    <row r="818" spans="1:5" x14ac:dyDescent="0.25">
      <c r="A818" s="18">
        <v>1999</v>
      </c>
      <c r="B818" s="18" t="s">
        <v>53</v>
      </c>
      <c r="C818" s="18">
        <v>0</v>
      </c>
      <c r="D818" s="18">
        <v>0</v>
      </c>
      <c r="E818" s="18">
        <v>0</v>
      </c>
    </row>
    <row r="819" spans="1:5" x14ac:dyDescent="0.25">
      <c r="A819" s="18">
        <v>2000</v>
      </c>
      <c r="B819" s="18" t="s">
        <v>53</v>
      </c>
      <c r="C819" s="18">
        <v>13087</v>
      </c>
      <c r="D819" s="18">
        <v>6840</v>
      </c>
      <c r="E819" s="18">
        <v>6247</v>
      </c>
    </row>
    <row r="820" spans="1:5" x14ac:dyDescent="0.25">
      <c r="A820" s="18">
        <v>2001</v>
      </c>
      <c r="B820" s="18" t="s">
        <v>53</v>
      </c>
      <c r="C820" s="18">
        <v>0</v>
      </c>
      <c r="D820" s="18">
        <v>0</v>
      </c>
      <c r="E820" s="18">
        <v>0</v>
      </c>
    </row>
    <row r="821" spans="1:5" x14ac:dyDescent="0.25">
      <c r="A821" s="18">
        <v>2002</v>
      </c>
      <c r="B821" s="18" t="s">
        <v>53</v>
      </c>
      <c r="C821" s="18">
        <v>0</v>
      </c>
      <c r="D821" s="18">
        <v>0</v>
      </c>
      <c r="E821" s="18">
        <v>0</v>
      </c>
    </row>
    <row r="822" spans="1:5" x14ac:dyDescent="0.25">
      <c r="A822" s="18">
        <v>2003</v>
      </c>
      <c r="B822" s="18" t="s">
        <v>53</v>
      </c>
      <c r="C822" s="18">
        <v>0</v>
      </c>
      <c r="D822" s="18">
        <v>0</v>
      </c>
      <c r="E822" s="18">
        <v>0</v>
      </c>
    </row>
    <row r="823" spans="1:5" x14ac:dyDescent="0.25">
      <c r="A823" s="18">
        <v>2004</v>
      </c>
      <c r="B823" s="18" t="s">
        <v>53</v>
      </c>
      <c r="C823" s="18">
        <v>0</v>
      </c>
      <c r="D823" s="18">
        <v>0</v>
      </c>
      <c r="E823" s="18">
        <v>0</v>
      </c>
    </row>
    <row r="824" spans="1:5" x14ac:dyDescent="0.25">
      <c r="A824" s="18">
        <v>2005</v>
      </c>
      <c r="B824" s="18" t="s">
        <v>53</v>
      </c>
      <c r="C824" s="18">
        <v>0</v>
      </c>
      <c r="D824" s="18">
        <v>0</v>
      </c>
      <c r="E824" s="18">
        <v>0</v>
      </c>
    </row>
    <row r="825" spans="1:5" x14ac:dyDescent="0.25">
      <c r="A825" s="18">
        <v>2006</v>
      </c>
      <c r="B825" s="18" t="s">
        <v>53</v>
      </c>
      <c r="C825" s="18">
        <v>0</v>
      </c>
      <c r="D825" s="18">
        <v>0</v>
      </c>
      <c r="E825" s="18">
        <v>0</v>
      </c>
    </row>
    <row r="826" spans="1:5" x14ac:dyDescent="0.25">
      <c r="A826" s="18">
        <v>2007</v>
      </c>
      <c r="B826" s="18" t="s">
        <v>53</v>
      </c>
      <c r="C826" s="18">
        <v>0</v>
      </c>
      <c r="D826" s="18">
        <v>0</v>
      </c>
      <c r="E826" s="18">
        <v>0</v>
      </c>
    </row>
    <row r="827" spans="1:5" x14ac:dyDescent="0.25">
      <c r="A827" s="18">
        <v>2008</v>
      </c>
      <c r="B827" s="18" t="s">
        <v>53</v>
      </c>
      <c r="C827" s="18">
        <v>0</v>
      </c>
      <c r="D827" s="18">
        <v>0</v>
      </c>
      <c r="E827" s="18">
        <v>0</v>
      </c>
    </row>
    <row r="828" spans="1:5" x14ac:dyDescent="0.25">
      <c r="A828" s="18">
        <v>1950</v>
      </c>
      <c r="B828" s="18" t="s">
        <v>55</v>
      </c>
      <c r="C828" s="18">
        <v>0</v>
      </c>
      <c r="D828" s="18">
        <v>0</v>
      </c>
      <c r="E828" s="18">
        <v>0</v>
      </c>
    </row>
    <row r="829" spans="1:5" x14ac:dyDescent="0.25">
      <c r="A829" s="18">
        <v>1951</v>
      </c>
      <c r="B829" s="18" t="s">
        <v>55</v>
      </c>
      <c r="C829" s="18">
        <v>0</v>
      </c>
      <c r="D829" s="18">
        <v>0</v>
      </c>
      <c r="E829" s="18">
        <v>0</v>
      </c>
    </row>
    <row r="830" spans="1:5" x14ac:dyDescent="0.25">
      <c r="A830" s="18">
        <v>1952</v>
      </c>
      <c r="B830" s="18" t="s">
        <v>55</v>
      </c>
      <c r="C830" s="18">
        <v>0</v>
      </c>
      <c r="D830" s="18">
        <v>0</v>
      </c>
      <c r="E830" s="18">
        <v>0</v>
      </c>
    </row>
    <row r="831" spans="1:5" x14ac:dyDescent="0.25">
      <c r="A831" s="18">
        <v>1953</v>
      </c>
      <c r="B831" s="18" t="s">
        <v>55</v>
      </c>
      <c r="C831" s="18">
        <v>0</v>
      </c>
      <c r="D831" s="18">
        <v>0</v>
      </c>
      <c r="E831" s="18">
        <v>0</v>
      </c>
    </row>
    <row r="832" spans="1:5" x14ac:dyDescent="0.25">
      <c r="A832" s="18">
        <v>1954</v>
      </c>
      <c r="B832" s="18" t="s">
        <v>55</v>
      </c>
      <c r="C832" s="18">
        <v>0</v>
      </c>
      <c r="D832" s="18">
        <v>0</v>
      </c>
      <c r="E832" s="18">
        <v>0</v>
      </c>
    </row>
    <row r="833" spans="1:5" x14ac:dyDescent="0.25">
      <c r="A833" s="18">
        <v>1955</v>
      </c>
      <c r="B833" s="18" t="s">
        <v>55</v>
      </c>
      <c r="C833" s="18">
        <v>0</v>
      </c>
      <c r="D833" s="18">
        <v>0</v>
      </c>
      <c r="E833" s="18">
        <v>0</v>
      </c>
    </row>
    <row r="834" spans="1:5" x14ac:dyDescent="0.25">
      <c r="A834" s="18">
        <v>1956</v>
      </c>
      <c r="B834" s="18" t="s">
        <v>55</v>
      </c>
      <c r="C834" s="18">
        <v>0</v>
      </c>
      <c r="D834" s="18">
        <v>0</v>
      </c>
      <c r="E834" s="18">
        <v>0</v>
      </c>
    </row>
    <row r="835" spans="1:5" x14ac:dyDescent="0.25">
      <c r="A835" s="18">
        <v>1957</v>
      </c>
      <c r="B835" s="18" t="s">
        <v>55</v>
      </c>
      <c r="C835" s="18">
        <v>0</v>
      </c>
      <c r="D835" s="18">
        <v>0</v>
      </c>
      <c r="E835" s="18">
        <v>0</v>
      </c>
    </row>
    <row r="836" spans="1:5" x14ac:dyDescent="0.25">
      <c r="A836" s="18">
        <v>1958</v>
      </c>
      <c r="B836" s="18" t="s">
        <v>55</v>
      </c>
      <c r="C836" s="18">
        <v>0</v>
      </c>
      <c r="D836" s="18">
        <v>0</v>
      </c>
      <c r="E836" s="18">
        <v>0</v>
      </c>
    </row>
    <row r="837" spans="1:5" x14ac:dyDescent="0.25">
      <c r="A837" s="18">
        <v>1959</v>
      </c>
      <c r="B837" s="18" t="s">
        <v>55</v>
      </c>
      <c r="C837" s="18">
        <v>0</v>
      </c>
      <c r="D837" s="18">
        <v>0</v>
      </c>
      <c r="E837" s="18">
        <v>0</v>
      </c>
    </row>
    <row r="838" spans="1:5" x14ac:dyDescent="0.25">
      <c r="A838" s="18">
        <v>1960</v>
      </c>
      <c r="B838" s="18" t="s">
        <v>55</v>
      </c>
      <c r="C838" s="18">
        <v>0</v>
      </c>
      <c r="D838" s="18">
        <v>0</v>
      </c>
      <c r="E838" s="18">
        <v>0</v>
      </c>
    </row>
    <row r="839" spans="1:5" x14ac:dyDescent="0.25">
      <c r="A839" s="18">
        <v>1961</v>
      </c>
      <c r="B839" s="18" t="s">
        <v>55</v>
      </c>
      <c r="C839" s="18">
        <v>0</v>
      </c>
      <c r="D839" s="18">
        <v>0</v>
      </c>
      <c r="E839" s="18">
        <v>0</v>
      </c>
    </row>
    <row r="840" spans="1:5" x14ac:dyDescent="0.25">
      <c r="A840" s="18">
        <v>1962</v>
      </c>
      <c r="B840" s="18" t="s">
        <v>55</v>
      </c>
      <c r="C840" s="18">
        <v>0</v>
      </c>
      <c r="D840" s="18">
        <v>0</v>
      </c>
      <c r="E840" s="18">
        <v>0</v>
      </c>
    </row>
    <row r="841" spans="1:5" x14ac:dyDescent="0.25">
      <c r="A841" s="18">
        <v>1963</v>
      </c>
      <c r="B841" s="18" t="s">
        <v>55</v>
      </c>
      <c r="C841" s="18">
        <v>0</v>
      </c>
      <c r="D841" s="18">
        <v>0</v>
      </c>
      <c r="E841" s="18">
        <v>0</v>
      </c>
    </row>
    <row r="842" spans="1:5" x14ac:dyDescent="0.25">
      <c r="A842" s="18">
        <v>1964</v>
      </c>
      <c r="B842" s="18" t="s">
        <v>55</v>
      </c>
      <c r="C842" s="18">
        <v>0</v>
      </c>
      <c r="D842" s="18">
        <v>0</v>
      </c>
      <c r="E842" s="18">
        <v>0</v>
      </c>
    </row>
    <row r="843" spans="1:5" x14ac:dyDescent="0.25">
      <c r="A843" s="18">
        <v>1965</v>
      </c>
      <c r="B843" s="18" t="s">
        <v>55</v>
      </c>
      <c r="C843" s="18">
        <v>0</v>
      </c>
      <c r="D843" s="18">
        <v>0</v>
      </c>
      <c r="E843" s="18">
        <v>0</v>
      </c>
    </row>
    <row r="844" spans="1:5" x14ac:dyDescent="0.25">
      <c r="A844" s="18">
        <v>1966</v>
      </c>
      <c r="B844" s="18" t="s">
        <v>55</v>
      </c>
      <c r="C844" s="18">
        <v>0</v>
      </c>
      <c r="D844" s="18">
        <v>0</v>
      </c>
      <c r="E844" s="18">
        <v>0</v>
      </c>
    </row>
    <row r="845" spans="1:5" x14ac:dyDescent="0.25">
      <c r="A845" s="18">
        <v>1967</v>
      </c>
      <c r="B845" s="18" t="s">
        <v>55</v>
      </c>
      <c r="C845" s="18">
        <v>0</v>
      </c>
      <c r="D845" s="18">
        <v>0</v>
      </c>
      <c r="E845" s="18">
        <v>0</v>
      </c>
    </row>
    <row r="846" spans="1:5" x14ac:dyDescent="0.25">
      <c r="A846" s="18">
        <v>1968</v>
      </c>
      <c r="B846" s="18" t="s">
        <v>55</v>
      </c>
      <c r="C846" s="18">
        <v>0</v>
      </c>
      <c r="D846" s="18">
        <v>0</v>
      </c>
      <c r="E846" s="18">
        <v>0</v>
      </c>
    </row>
    <row r="847" spans="1:5" x14ac:dyDescent="0.25">
      <c r="A847" s="18">
        <v>1969</v>
      </c>
      <c r="B847" s="18" t="s">
        <v>55</v>
      </c>
      <c r="C847" s="18">
        <v>0</v>
      </c>
      <c r="D847" s="18">
        <v>0</v>
      </c>
      <c r="E847" s="18">
        <v>0</v>
      </c>
    </row>
    <row r="848" spans="1:5" x14ac:dyDescent="0.25">
      <c r="A848" s="18">
        <v>1970</v>
      </c>
      <c r="B848" s="18" t="s">
        <v>55</v>
      </c>
      <c r="C848" s="18">
        <v>0</v>
      </c>
      <c r="D848" s="18">
        <v>0</v>
      </c>
      <c r="E848" s="18">
        <v>0</v>
      </c>
    </row>
    <row r="849" spans="1:5" x14ac:dyDescent="0.25">
      <c r="A849" s="18">
        <v>1971</v>
      </c>
      <c r="B849" s="18" t="s">
        <v>55</v>
      </c>
      <c r="C849" s="18">
        <v>0</v>
      </c>
      <c r="D849" s="18">
        <v>0</v>
      </c>
      <c r="E849" s="18">
        <v>0</v>
      </c>
    </row>
    <row r="850" spans="1:5" x14ac:dyDescent="0.25">
      <c r="A850" s="18">
        <v>1972</v>
      </c>
      <c r="B850" s="18" t="s">
        <v>55</v>
      </c>
      <c r="C850" s="18">
        <v>0</v>
      </c>
      <c r="D850" s="18">
        <v>0</v>
      </c>
      <c r="E850" s="18">
        <v>0</v>
      </c>
    </row>
    <row r="851" spans="1:5" x14ac:dyDescent="0.25">
      <c r="A851" s="18">
        <v>1973</v>
      </c>
      <c r="B851" s="18" t="s">
        <v>55</v>
      </c>
      <c r="C851" s="18">
        <v>0</v>
      </c>
      <c r="D851" s="18">
        <v>0</v>
      </c>
      <c r="E851" s="18">
        <v>0</v>
      </c>
    </row>
    <row r="852" spans="1:5" x14ac:dyDescent="0.25">
      <c r="A852" s="18">
        <v>1974</v>
      </c>
      <c r="B852" s="18" t="s">
        <v>55</v>
      </c>
      <c r="C852" s="18">
        <v>0</v>
      </c>
      <c r="D852" s="18">
        <v>0</v>
      </c>
      <c r="E852" s="18">
        <v>0</v>
      </c>
    </row>
    <row r="853" spans="1:5" x14ac:dyDescent="0.25">
      <c r="A853" s="18">
        <v>1975</v>
      </c>
      <c r="B853" s="18" t="s">
        <v>55</v>
      </c>
      <c r="C853" s="18">
        <v>0</v>
      </c>
      <c r="D853" s="18">
        <v>0</v>
      </c>
      <c r="E853" s="18">
        <v>0</v>
      </c>
    </row>
    <row r="854" spans="1:5" x14ac:dyDescent="0.25">
      <c r="A854" s="18">
        <v>1976</v>
      </c>
      <c r="B854" s="18" t="s">
        <v>55</v>
      </c>
      <c r="C854" s="18">
        <v>0</v>
      </c>
      <c r="D854" s="18">
        <v>0</v>
      </c>
      <c r="E854" s="18">
        <v>0</v>
      </c>
    </row>
    <row r="855" spans="1:5" x14ac:dyDescent="0.25">
      <c r="A855" s="18">
        <v>1977</v>
      </c>
      <c r="B855" s="18" t="s">
        <v>55</v>
      </c>
      <c r="C855" s="18">
        <v>0</v>
      </c>
      <c r="D855" s="18">
        <v>0</v>
      </c>
      <c r="E855" s="18">
        <v>0</v>
      </c>
    </row>
    <row r="856" spans="1:5" x14ac:dyDescent="0.25">
      <c r="A856" s="18">
        <v>1978</v>
      </c>
      <c r="B856" s="18" t="s">
        <v>55</v>
      </c>
      <c r="C856" s="18">
        <v>0</v>
      </c>
      <c r="D856" s="18">
        <v>0</v>
      </c>
      <c r="E856" s="18">
        <v>0</v>
      </c>
    </row>
    <row r="857" spans="1:5" x14ac:dyDescent="0.25">
      <c r="A857" s="18">
        <v>1979</v>
      </c>
      <c r="B857" s="18" t="s">
        <v>55</v>
      </c>
      <c r="C857" s="18">
        <v>0</v>
      </c>
      <c r="D857" s="18">
        <v>0</v>
      </c>
      <c r="E857" s="18">
        <v>0</v>
      </c>
    </row>
    <row r="858" spans="1:5" x14ac:dyDescent="0.25">
      <c r="A858" s="18">
        <v>1980</v>
      </c>
      <c r="B858" s="18" t="s">
        <v>55</v>
      </c>
      <c r="C858" s="18">
        <v>0</v>
      </c>
      <c r="D858" s="18">
        <v>0</v>
      </c>
      <c r="E858" s="18">
        <v>0</v>
      </c>
    </row>
    <row r="859" spans="1:5" x14ac:dyDescent="0.25">
      <c r="A859" s="18">
        <v>1981</v>
      </c>
      <c r="B859" s="18" t="s">
        <v>55</v>
      </c>
      <c r="C859" s="18">
        <v>0</v>
      </c>
      <c r="D859" s="18">
        <v>0</v>
      </c>
      <c r="E859" s="18">
        <v>0</v>
      </c>
    </row>
    <row r="860" spans="1:5" x14ac:dyDescent="0.25">
      <c r="A860" s="18">
        <v>1982</v>
      </c>
      <c r="B860" s="18" t="s">
        <v>55</v>
      </c>
      <c r="C860" s="18">
        <v>0</v>
      </c>
      <c r="D860" s="18">
        <v>0</v>
      </c>
      <c r="E860" s="18">
        <v>0</v>
      </c>
    </row>
    <row r="861" spans="1:5" x14ac:dyDescent="0.25">
      <c r="A861" s="18">
        <v>1983</v>
      </c>
      <c r="B861" s="18" t="s">
        <v>55</v>
      </c>
      <c r="C861" s="18">
        <v>0</v>
      </c>
      <c r="D861" s="18">
        <v>0</v>
      </c>
      <c r="E861" s="18">
        <v>0</v>
      </c>
    </row>
    <row r="862" spans="1:5" x14ac:dyDescent="0.25">
      <c r="A862" s="18">
        <v>1984</v>
      </c>
      <c r="B862" s="18" t="s">
        <v>55</v>
      </c>
      <c r="C862" s="18">
        <v>0</v>
      </c>
      <c r="D862" s="18">
        <v>0</v>
      </c>
      <c r="E862" s="18">
        <v>0</v>
      </c>
    </row>
    <row r="863" spans="1:5" x14ac:dyDescent="0.25">
      <c r="A863" s="18">
        <v>1985</v>
      </c>
      <c r="B863" s="18" t="s">
        <v>55</v>
      </c>
      <c r="C863" s="18">
        <v>0</v>
      </c>
      <c r="D863" s="18">
        <v>0</v>
      </c>
      <c r="E863" s="18">
        <v>0</v>
      </c>
    </row>
    <row r="864" spans="1:5" x14ac:dyDescent="0.25">
      <c r="A864" s="18">
        <v>1986</v>
      </c>
      <c r="B864" s="18" t="s">
        <v>55</v>
      </c>
      <c r="C864" s="18">
        <v>0</v>
      </c>
      <c r="D864" s="18">
        <v>0</v>
      </c>
      <c r="E864" s="18">
        <v>0</v>
      </c>
    </row>
    <row r="865" spans="1:5" x14ac:dyDescent="0.25">
      <c r="A865" s="18">
        <v>1987</v>
      </c>
      <c r="B865" s="18" t="s">
        <v>55</v>
      </c>
      <c r="C865" s="18">
        <v>0</v>
      </c>
      <c r="D865" s="18">
        <v>0</v>
      </c>
      <c r="E865" s="18">
        <v>0</v>
      </c>
    </row>
    <row r="866" spans="1:5" x14ac:dyDescent="0.25">
      <c r="A866" s="18">
        <v>1988</v>
      </c>
      <c r="B866" s="18" t="s">
        <v>55</v>
      </c>
      <c r="C866" s="18">
        <v>0</v>
      </c>
      <c r="D866" s="18">
        <v>0</v>
      </c>
      <c r="E866" s="18">
        <v>0</v>
      </c>
    </row>
    <row r="867" spans="1:5" x14ac:dyDescent="0.25">
      <c r="A867" s="18">
        <v>1989</v>
      </c>
      <c r="B867" s="18" t="s">
        <v>55</v>
      </c>
      <c r="C867" s="18">
        <v>0</v>
      </c>
      <c r="D867" s="18">
        <v>0</v>
      </c>
      <c r="E867" s="18">
        <v>0</v>
      </c>
    </row>
    <row r="868" spans="1:5" x14ac:dyDescent="0.25">
      <c r="A868" s="18">
        <v>1990</v>
      </c>
      <c r="B868" s="18" t="s">
        <v>55</v>
      </c>
      <c r="C868" s="18">
        <v>2250</v>
      </c>
      <c r="D868" s="18">
        <v>1138</v>
      </c>
      <c r="E868" s="18">
        <v>1112</v>
      </c>
    </row>
    <row r="869" spans="1:5" x14ac:dyDescent="0.25">
      <c r="A869" s="18">
        <v>1991</v>
      </c>
      <c r="B869" s="18" t="s">
        <v>55</v>
      </c>
      <c r="C869" s="18">
        <v>0</v>
      </c>
      <c r="D869" s="18">
        <v>0</v>
      </c>
      <c r="E869" s="18">
        <v>0</v>
      </c>
    </row>
    <row r="870" spans="1:5" x14ac:dyDescent="0.25">
      <c r="A870" s="18">
        <v>1992</v>
      </c>
      <c r="B870" s="18" t="s">
        <v>55</v>
      </c>
      <c r="C870" s="18">
        <v>0</v>
      </c>
      <c r="D870" s="18">
        <v>0</v>
      </c>
      <c r="E870" s="18">
        <v>0</v>
      </c>
    </row>
    <row r="871" spans="1:5" x14ac:dyDescent="0.25">
      <c r="A871" s="18">
        <v>1993</v>
      </c>
      <c r="B871" s="18" t="s">
        <v>55</v>
      </c>
      <c r="C871" s="18">
        <v>0</v>
      </c>
      <c r="D871" s="18">
        <v>0</v>
      </c>
      <c r="E871" s="18">
        <v>0</v>
      </c>
    </row>
    <row r="872" spans="1:5" x14ac:dyDescent="0.25">
      <c r="A872" s="18">
        <v>1994</v>
      </c>
      <c r="B872" s="18" t="s">
        <v>55</v>
      </c>
      <c r="C872" s="18">
        <v>0</v>
      </c>
      <c r="D872" s="18">
        <v>0</v>
      </c>
      <c r="E872" s="18">
        <v>0</v>
      </c>
    </row>
    <row r="873" spans="1:5" x14ac:dyDescent="0.25">
      <c r="A873" s="18">
        <v>1995</v>
      </c>
      <c r="B873" s="18" t="s">
        <v>55</v>
      </c>
      <c r="C873" s="18">
        <v>0</v>
      </c>
      <c r="D873" s="18">
        <v>0</v>
      </c>
      <c r="E873" s="18">
        <v>0</v>
      </c>
    </row>
    <row r="874" spans="1:5" x14ac:dyDescent="0.25">
      <c r="A874" s="18">
        <v>1996</v>
      </c>
      <c r="B874" s="18" t="s">
        <v>55</v>
      </c>
      <c r="C874" s="18">
        <v>0</v>
      </c>
      <c r="D874" s="18">
        <v>0</v>
      </c>
      <c r="E874" s="18">
        <v>0</v>
      </c>
    </row>
    <row r="875" spans="1:5" x14ac:dyDescent="0.25">
      <c r="A875" s="18">
        <v>1997</v>
      </c>
      <c r="B875" s="18" t="s">
        <v>55</v>
      </c>
      <c r="C875" s="18">
        <v>0</v>
      </c>
      <c r="D875" s="18">
        <v>0</v>
      </c>
      <c r="E875" s="18">
        <v>0</v>
      </c>
    </row>
    <row r="876" spans="1:5" x14ac:dyDescent="0.25">
      <c r="A876" s="18">
        <v>1998</v>
      </c>
      <c r="B876" s="18" t="s">
        <v>55</v>
      </c>
      <c r="C876" s="18">
        <v>0</v>
      </c>
      <c r="D876" s="18">
        <v>0</v>
      </c>
      <c r="E876" s="18">
        <v>0</v>
      </c>
    </row>
    <row r="877" spans="1:5" x14ac:dyDescent="0.25">
      <c r="A877" s="18">
        <v>1999</v>
      </c>
      <c r="B877" s="18" t="s">
        <v>55</v>
      </c>
      <c r="C877" s="18">
        <v>0</v>
      </c>
      <c r="D877" s="18">
        <v>0</v>
      </c>
      <c r="E877" s="18">
        <v>0</v>
      </c>
    </row>
    <row r="878" spans="1:5" x14ac:dyDescent="0.25">
      <c r="A878" s="18">
        <v>2000</v>
      </c>
      <c r="B878" s="18" t="s">
        <v>55</v>
      </c>
      <c r="C878" s="18">
        <v>2822</v>
      </c>
      <c r="D878" s="18">
        <v>1368</v>
      </c>
      <c r="E878" s="18">
        <v>1453</v>
      </c>
    </row>
    <row r="879" spans="1:5" x14ac:dyDescent="0.25">
      <c r="A879" s="18">
        <v>2001</v>
      </c>
      <c r="B879" s="18" t="s">
        <v>55</v>
      </c>
      <c r="C879" s="18">
        <v>0</v>
      </c>
      <c r="D879" s="18">
        <v>0</v>
      </c>
      <c r="E879" s="18">
        <v>0</v>
      </c>
    </row>
    <row r="880" spans="1:5" x14ac:dyDescent="0.25">
      <c r="A880" s="18">
        <v>2002</v>
      </c>
      <c r="B880" s="18" t="s">
        <v>55</v>
      </c>
      <c r="C880" s="18">
        <v>0</v>
      </c>
      <c r="D880" s="18">
        <v>0</v>
      </c>
      <c r="E880" s="18">
        <v>0</v>
      </c>
    </row>
    <row r="881" spans="1:5" x14ac:dyDescent="0.25">
      <c r="A881" s="18">
        <v>2003</v>
      </c>
      <c r="B881" s="18" t="s">
        <v>55</v>
      </c>
      <c r="C881" s="18">
        <v>0</v>
      </c>
      <c r="D881" s="18">
        <v>0</v>
      </c>
      <c r="E881" s="18">
        <v>0</v>
      </c>
    </row>
    <row r="882" spans="1:5" x14ac:dyDescent="0.25">
      <c r="A882" s="18">
        <v>2004</v>
      </c>
      <c r="B882" s="18" t="s">
        <v>55</v>
      </c>
      <c r="C882" s="18">
        <v>0</v>
      </c>
      <c r="D882" s="18">
        <v>0</v>
      </c>
      <c r="E882" s="18">
        <v>0</v>
      </c>
    </row>
    <row r="883" spans="1:5" x14ac:dyDescent="0.25">
      <c r="A883" s="18">
        <v>2005</v>
      </c>
      <c r="B883" s="18" t="s">
        <v>55</v>
      </c>
      <c r="C883" s="18">
        <v>0</v>
      </c>
      <c r="D883" s="18">
        <v>0</v>
      </c>
      <c r="E883" s="18">
        <v>0</v>
      </c>
    </row>
    <row r="884" spans="1:5" x14ac:dyDescent="0.25">
      <c r="A884" s="18">
        <v>2006</v>
      </c>
      <c r="B884" s="18" t="s">
        <v>55</v>
      </c>
      <c r="C884" s="18">
        <v>0</v>
      </c>
      <c r="D884" s="18">
        <v>0</v>
      </c>
      <c r="E884" s="18">
        <v>0</v>
      </c>
    </row>
    <row r="885" spans="1:5" x14ac:dyDescent="0.25">
      <c r="A885" s="18">
        <v>2007</v>
      </c>
      <c r="B885" s="18" t="s">
        <v>55</v>
      </c>
      <c r="C885" s="18">
        <v>0</v>
      </c>
      <c r="D885" s="18">
        <v>0</v>
      </c>
      <c r="E885" s="18">
        <v>0</v>
      </c>
    </row>
    <row r="886" spans="1:5" x14ac:dyDescent="0.25">
      <c r="A886" s="18">
        <v>2008</v>
      </c>
      <c r="B886" s="18" t="s">
        <v>55</v>
      </c>
      <c r="C886" s="18">
        <v>0</v>
      </c>
      <c r="D886" s="18">
        <v>0</v>
      </c>
      <c r="E886" s="18">
        <v>0</v>
      </c>
    </row>
    <row r="887" spans="1:5" x14ac:dyDescent="0.25">
      <c r="A887" s="18">
        <v>1950</v>
      </c>
      <c r="B887" s="18" t="s">
        <v>66</v>
      </c>
      <c r="C887" s="18">
        <v>0</v>
      </c>
      <c r="D887" s="18">
        <v>0</v>
      </c>
      <c r="E887" s="18">
        <v>0</v>
      </c>
    </row>
    <row r="888" spans="1:5" x14ac:dyDescent="0.25">
      <c r="A888" s="18">
        <v>1951</v>
      </c>
      <c r="B888" s="18" t="s">
        <v>66</v>
      </c>
      <c r="C888" s="18">
        <v>0</v>
      </c>
      <c r="D888" s="18">
        <v>0</v>
      </c>
      <c r="E888" s="18">
        <v>0</v>
      </c>
    </row>
    <row r="889" spans="1:5" x14ac:dyDescent="0.25">
      <c r="A889" s="18">
        <v>1952</v>
      </c>
      <c r="B889" s="18" t="s">
        <v>66</v>
      </c>
      <c r="C889" s="18">
        <v>0</v>
      </c>
      <c r="D889" s="18">
        <v>0</v>
      </c>
      <c r="E889" s="18">
        <v>0</v>
      </c>
    </row>
    <row r="890" spans="1:5" x14ac:dyDescent="0.25">
      <c r="A890" s="18">
        <v>1953</v>
      </c>
      <c r="B890" s="18" t="s">
        <v>66</v>
      </c>
      <c r="C890" s="18">
        <v>0</v>
      </c>
      <c r="D890" s="18">
        <v>0</v>
      </c>
      <c r="E890" s="18">
        <v>0</v>
      </c>
    </row>
    <row r="891" spans="1:5" x14ac:dyDescent="0.25">
      <c r="A891" s="18">
        <v>1954</v>
      </c>
      <c r="B891" s="18" t="s">
        <v>66</v>
      </c>
      <c r="C891" s="18">
        <v>0</v>
      </c>
      <c r="D891" s="18">
        <v>0</v>
      </c>
      <c r="E891" s="18">
        <v>0</v>
      </c>
    </row>
    <row r="892" spans="1:5" x14ac:dyDescent="0.25">
      <c r="A892" s="18">
        <v>1955</v>
      </c>
      <c r="B892" s="18" t="s">
        <v>66</v>
      </c>
      <c r="C892" s="18">
        <v>0</v>
      </c>
      <c r="D892" s="18">
        <v>0</v>
      </c>
      <c r="E892" s="18">
        <v>0</v>
      </c>
    </row>
    <row r="893" spans="1:5" x14ac:dyDescent="0.25">
      <c r="A893" s="18">
        <v>1956</v>
      </c>
      <c r="B893" s="18" t="s">
        <v>66</v>
      </c>
      <c r="C893" s="18">
        <v>0</v>
      </c>
      <c r="D893" s="18">
        <v>0</v>
      </c>
      <c r="E893" s="18">
        <v>0</v>
      </c>
    </row>
    <row r="894" spans="1:5" x14ac:dyDescent="0.25">
      <c r="A894" s="18">
        <v>1957</v>
      </c>
      <c r="B894" s="18" t="s">
        <v>66</v>
      </c>
      <c r="C894" s="18">
        <v>0</v>
      </c>
      <c r="D894" s="18">
        <v>0</v>
      </c>
      <c r="E894" s="18">
        <v>0</v>
      </c>
    </row>
    <row r="895" spans="1:5" x14ac:dyDescent="0.25">
      <c r="A895" s="18">
        <v>1958</v>
      </c>
      <c r="B895" s="18" t="s">
        <v>66</v>
      </c>
      <c r="C895" s="18">
        <v>0</v>
      </c>
      <c r="D895" s="18">
        <v>0</v>
      </c>
      <c r="E895" s="18">
        <v>0</v>
      </c>
    </row>
    <row r="896" spans="1:5" x14ac:dyDescent="0.25">
      <c r="A896" s="18">
        <v>1959</v>
      </c>
      <c r="B896" s="18" t="s">
        <v>66</v>
      </c>
      <c r="C896" s="18">
        <v>0</v>
      </c>
      <c r="D896" s="18">
        <v>0</v>
      </c>
      <c r="E896" s="18">
        <v>0</v>
      </c>
    </row>
    <row r="897" spans="1:5" x14ac:dyDescent="0.25">
      <c r="A897" s="18">
        <v>1960</v>
      </c>
      <c r="B897" s="18" t="s">
        <v>66</v>
      </c>
      <c r="C897" s="18">
        <v>0</v>
      </c>
      <c r="D897" s="18">
        <v>0</v>
      </c>
      <c r="E897" s="18">
        <v>0</v>
      </c>
    </row>
    <row r="898" spans="1:5" x14ac:dyDescent="0.25">
      <c r="A898" s="18">
        <v>1961</v>
      </c>
      <c r="B898" s="18" t="s">
        <v>66</v>
      </c>
      <c r="C898" s="18">
        <v>0</v>
      </c>
      <c r="D898" s="18">
        <v>0</v>
      </c>
      <c r="E898" s="18">
        <v>0</v>
      </c>
    </row>
    <row r="899" spans="1:5" x14ac:dyDescent="0.25">
      <c r="A899" s="18">
        <v>1962</v>
      </c>
      <c r="B899" s="18" t="s">
        <v>66</v>
      </c>
      <c r="C899" s="18">
        <v>0</v>
      </c>
      <c r="D899" s="18">
        <v>0</v>
      </c>
      <c r="E899" s="18">
        <v>0</v>
      </c>
    </row>
    <row r="900" spans="1:5" x14ac:dyDescent="0.25">
      <c r="A900" s="18">
        <v>1963</v>
      </c>
      <c r="B900" s="18" t="s">
        <v>66</v>
      </c>
      <c r="C900" s="18">
        <v>0</v>
      </c>
      <c r="D900" s="18">
        <v>0</v>
      </c>
      <c r="E900" s="18">
        <v>0</v>
      </c>
    </row>
    <row r="901" spans="1:5" x14ac:dyDescent="0.25">
      <c r="A901" s="18">
        <v>1964</v>
      </c>
      <c r="B901" s="18" t="s">
        <v>66</v>
      </c>
      <c r="C901" s="18">
        <v>0</v>
      </c>
      <c r="D901" s="18">
        <v>0</v>
      </c>
      <c r="E901" s="18">
        <v>0</v>
      </c>
    </row>
    <row r="902" spans="1:5" x14ac:dyDescent="0.25">
      <c r="A902" s="18">
        <v>1965</v>
      </c>
      <c r="B902" s="18" t="s">
        <v>66</v>
      </c>
      <c r="C902" s="18">
        <v>0</v>
      </c>
      <c r="D902" s="18">
        <v>0</v>
      </c>
      <c r="E902" s="18">
        <v>0</v>
      </c>
    </row>
    <row r="903" spans="1:5" x14ac:dyDescent="0.25">
      <c r="A903" s="18">
        <v>1966</v>
      </c>
      <c r="B903" s="18" t="s">
        <v>66</v>
      </c>
      <c r="C903" s="18">
        <v>0</v>
      </c>
      <c r="D903" s="18">
        <v>0</v>
      </c>
      <c r="E903" s="18">
        <v>0</v>
      </c>
    </row>
    <row r="904" spans="1:5" x14ac:dyDescent="0.25">
      <c r="A904" s="18">
        <v>1967</v>
      </c>
      <c r="B904" s="18" t="s">
        <v>66</v>
      </c>
      <c r="C904" s="18">
        <v>0</v>
      </c>
      <c r="D904" s="18">
        <v>0</v>
      </c>
      <c r="E904" s="18">
        <v>0</v>
      </c>
    </row>
    <row r="905" spans="1:5" x14ac:dyDescent="0.25">
      <c r="A905" s="18">
        <v>1968</v>
      </c>
      <c r="B905" s="18" t="s">
        <v>66</v>
      </c>
      <c r="C905" s="18">
        <v>0</v>
      </c>
      <c r="D905" s="18">
        <v>0</v>
      </c>
      <c r="E905" s="18">
        <v>0</v>
      </c>
    </row>
    <row r="906" spans="1:5" x14ac:dyDescent="0.25">
      <c r="A906" s="18">
        <v>1969</v>
      </c>
      <c r="B906" s="18" t="s">
        <v>66</v>
      </c>
      <c r="C906" s="18">
        <v>0</v>
      </c>
      <c r="D906" s="18">
        <v>0</v>
      </c>
      <c r="E906" s="18">
        <v>0</v>
      </c>
    </row>
    <row r="907" spans="1:5" x14ac:dyDescent="0.25">
      <c r="A907" s="18">
        <v>1970</v>
      </c>
      <c r="B907" s="18" t="s">
        <v>66</v>
      </c>
      <c r="C907" s="18">
        <v>0</v>
      </c>
      <c r="D907" s="18">
        <v>0</v>
      </c>
      <c r="E907" s="18">
        <v>0</v>
      </c>
    </row>
    <row r="908" spans="1:5" x14ac:dyDescent="0.25">
      <c r="A908" s="18">
        <v>1971</v>
      </c>
      <c r="B908" s="18" t="s">
        <v>66</v>
      </c>
      <c r="C908" s="18">
        <v>0</v>
      </c>
      <c r="D908" s="18">
        <v>0</v>
      </c>
      <c r="E908" s="18">
        <v>0</v>
      </c>
    </row>
    <row r="909" spans="1:5" x14ac:dyDescent="0.25">
      <c r="A909" s="18">
        <v>1972</v>
      </c>
      <c r="B909" s="18" t="s">
        <v>66</v>
      </c>
      <c r="C909" s="18">
        <v>0</v>
      </c>
      <c r="D909" s="18">
        <v>0</v>
      </c>
      <c r="E909" s="18">
        <v>0</v>
      </c>
    </row>
    <row r="910" spans="1:5" x14ac:dyDescent="0.25">
      <c r="A910" s="18">
        <v>1973</v>
      </c>
      <c r="B910" s="18" t="s">
        <v>66</v>
      </c>
      <c r="C910" s="18">
        <v>0</v>
      </c>
      <c r="D910" s="18">
        <v>0</v>
      </c>
      <c r="E910" s="18">
        <v>0</v>
      </c>
    </row>
    <row r="911" spans="1:5" x14ac:dyDescent="0.25">
      <c r="A911" s="18">
        <v>1974</v>
      </c>
      <c r="B911" s="18" t="s">
        <v>66</v>
      </c>
      <c r="C911" s="18">
        <v>0</v>
      </c>
      <c r="D911" s="18">
        <v>0</v>
      </c>
      <c r="E911" s="18">
        <v>0</v>
      </c>
    </row>
    <row r="912" spans="1:5" x14ac:dyDescent="0.25">
      <c r="A912" s="18">
        <v>1975</v>
      </c>
      <c r="B912" s="18" t="s">
        <v>66</v>
      </c>
      <c r="C912" s="18">
        <v>0</v>
      </c>
      <c r="D912" s="18">
        <v>0</v>
      </c>
      <c r="E912" s="18">
        <v>0</v>
      </c>
    </row>
    <row r="913" spans="1:5" x14ac:dyDescent="0.25">
      <c r="A913" s="18">
        <v>1976</v>
      </c>
      <c r="B913" s="18" t="s">
        <v>66</v>
      </c>
      <c r="C913" s="18">
        <v>0</v>
      </c>
      <c r="D913" s="18">
        <v>0</v>
      </c>
      <c r="E913" s="18">
        <v>0</v>
      </c>
    </row>
    <row r="914" spans="1:5" x14ac:dyDescent="0.25">
      <c r="A914" s="18">
        <v>1977</v>
      </c>
      <c r="B914" s="18" t="s">
        <v>66</v>
      </c>
      <c r="C914" s="18">
        <v>0</v>
      </c>
      <c r="D914" s="18">
        <v>0</v>
      </c>
      <c r="E914" s="18">
        <v>0</v>
      </c>
    </row>
    <row r="915" spans="1:5" x14ac:dyDescent="0.25">
      <c r="A915" s="18">
        <v>1978</v>
      </c>
      <c r="B915" s="18" t="s">
        <v>66</v>
      </c>
      <c r="C915" s="18">
        <v>0</v>
      </c>
      <c r="D915" s="18">
        <v>0</v>
      </c>
      <c r="E915" s="18">
        <v>0</v>
      </c>
    </row>
    <row r="916" spans="1:5" x14ac:dyDescent="0.25">
      <c r="A916" s="18">
        <v>1979</v>
      </c>
      <c r="B916" s="18" t="s">
        <v>66</v>
      </c>
      <c r="C916" s="18">
        <v>0</v>
      </c>
      <c r="D916" s="18">
        <v>0</v>
      </c>
      <c r="E916" s="18">
        <v>0</v>
      </c>
    </row>
    <row r="917" spans="1:5" x14ac:dyDescent="0.25">
      <c r="A917" s="18">
        <v>1980</v>
      </c>
      <c r="B917" s="18" t="s">
        <v>66</v>
      </c>
      <c r="C917" s="18">
        <v>4698</v>
      </c>
      <c r="D917" s="18">
        <v>2418</v>
      </c>
      <c r="E917" s="18">
        <v>2280</v>
      </c>
    </row>
    <row r="918" spans="1:5" x14ac:dyDescent="0.25">
      <c r="A918" s="18">
        <v>1981</v>
      </c>
      <c r="B918" s="18" t="s">
        <v>66</v>
      </c>
      <c r="C918" s="18">
        <v>0</v>
      </c>
      <c r="D918" s="18">
        <v>0</v>
      </c>
      <c r="E918" s="18">
        <v>0</v>
      </c>
    </row>
    <row r="919" spans="1:5" x14ac:dyDescent="0.25">
      <c r="A919" s="18">
        <v>1982</v>
      </c>
      <c r="B919" s="18" t="s">
        <v>66</v>
      </c>
      <c r="C919" s="18">
        <v>0</v>
      </c>
      <c r="D919" s="18">
        <v>0</v>
      </c>
      <c r="E919" s="18">
        <v>0</v>
      </c>
    </row>
    <row r="920" spans="1:5" x14ac:dyDescent="0.25">
      <c r="A920" s="18">
        <v>1983</v>
      </c>
      <c r="B920" s="18" t="s">
        <v>66</v>
      </c>
      <c r="C920" s="18">
        <v>0</v>
      </c>
      <c r="D920" s="18">
        <v>0</v>
      </c>
      <c r="E920" s="18">
        <v>0</v>
      </c>
    </row>
    <row r="921" spans="1:5" x14ac:dyDescent="0.25">
      <c r="A921" s="18">
        <v>1984</v>
      </c>
      <c r="B921" s="18" t="s">
        <v>66</v>
      </c>
      <c r="C921" s="18">
        <v>0</v>
      </c>
      <c r="D921" s="18">
        <v>0</v>
      </c>
      <c r="E921" s="18">
        <v>0</v>
      </c>
    </row>
    <row r="922" spans="1:5" x14ac:dyDescent="0.25">
      <c r="A922" s="18">
        <v>1985</v>
      </c>
      <c r="B922" s="18" t="s">
        <v>66</v>
      </c>
      <c r="C922" s="18">
        <v>5527</v>
      </c>
      <c r="D922" s="18">
        <v>2834</v>
      </c>
      <c r="E922" s="18">
        <v>2692</v>
      </c>
    </row>
    <row r="923" spans="1:5" x14ac:dyDescent="0.25">
      <c r="A923" s="18">
        <v>1986</v>
      </c>
      <c r="B923" s="18" t="s">
        <v>66</v>
      </c>
      <c r="C923" s="18">
        <v>0</v>
      </c>
      <c r="D923" s="18">
        <v>0</v>
      </c>
      <c r="E923" s="18">
        <v>0</v>
      </c>
    </row>
    <row r="924" spans="1:5" x14ac:dyDescent="0.25">
      <c r="A924" s="18">
        <v>1987</v>
      </c>
      <c r="B924" s="18" t="s">
        <v>66</v>
      </c>
      <c r="C924" s="18">
        <v>0</v>
      </c>
      <c r="D924" s="18">
        <v>0</v>
      </c>
      <c r="E924" s="18">
        <v>0</v>
      </c>
    </row>
    <row r="925" spans="1:5" x14ac:dyDescent="0.25">
      <c r="A925" s="18">
        <v>1988</v>
      </c>
      <c r="B925" s="18" t="s">
        <v>66</v>
      </c>
      <c r="C925" s="18">
        <v>0</v>
      </c>
      <c r="D925" s="18">
        <v>0</v>
      </c>
      <c r="E925" s="18">
        <v>0</v>
      </c>
    </row>
    <row r="926" spans="1:5" x14ac:dyDescent="0.25">
      <c r="A926" s="18">
        <v>1989</v>
      </c>
      <c r="B926" s="18" t="s">
        <v>66</v>
      </c>
      <c r="C926" s="18">
        <v>0</v>
      </c>
      <c r="D926" s="18">
        <v>0</v>
      </c>
      <c r="E926" s="18">
        <v>0</v>
      </c>
    </row>
    <row r="927" spans="1:5" x14ac:dyDescent="0.25">
      <c r="A927" s="18">
        <v>1990</v>
      </c>
      <c r="B927" s="18" t="s">
        <v>66</v>
      </c>
      <c r="C927" s="18">
        <v>8101</v>
      </c>
      <c r="D927" s="18">
        <v>4192</v>
      </c>
      <c r="E927" s="18">
        <v>3909</v>
      </c>
    </row>
    <row r="928" spans="1:5" x14ac:dyDescent="0.25">
      <c r="A928" s="18">
        <v>1991</v>
      </c>
      <c r="B928" s="18" t="s">
        <v>66</v>
      </c>
      <c r="C928" s="18">
        <v>0</v>
      </c>
      <c r="D928" s="18">
        <v>0</v>
      </c>
      <c r="E928" s="18">
        <v>0</v>
      </c>
    </row>
    <row r="929" spans="1:5" x14ac:dyDescent="0.25">
      <c r="A929" s="18">
        <v>1992</v>
      </c>
      <c r="B929" s="18" t="s">
        <v>66</v>
      </c>
      <c r="C929" s="18">
        <v>0</v>
      </c>
      <c r="D929" s="18">
        <v>0</v>
      </c>
      <c r="E929" s="18">
        <v>0</v>
      </c>
    </row>
    <row r="930" spans="1:5" x14ac:dyDescent="0.25">
      <c r="A930" s="18">
        <v>1993</v>
      </c>
      <c r="B930" s="18" t="s">
        <v>66</v>
      </c>
      <c r="C930" s="18">
        <v>0</v>
      </c>
      <c r="D930" s="18">
        <v>0</v>
      </c>
      <c r="E930" s="18">
        <v>0</v>
      </c>
    </row>
    <row r="931" spans="1:5" x14ac:dyDescent="0.25">
      <c r="A931" s="18">
        <v>1994</v>
      </c>
      <c r="B931" s="18" t="s">
        <v>66</v>
      </c>
      <c r="C931" s="18">
        <v>0</v>
      </c>
      <c r="D931" s="18">
        <v>0</v>
      </c>
      <c r="E931" s="18">
        <v>0</v>
      </c>
    </row>
    <row r="932" spans="1:5" x14ac:dyDescent="0.25">
      <c r="A932" s="18">
        <v>1995</v>
      </c>
      <c r="B932" s="18" t="s">
        <v>66</v>
      </c>
      <c r="C932" s="18">
        <v>0</v>
      </c>
      <c r="D932" s="18">
        <v>0</v>
      </c>
      <c r="E932" s="18">
        <v>0</v>
      </c>
    </row>
    <row r="933" spans="1:5" x14ac:dyDescent="0.25">
      <c r="A933" s="18">
        <v>1996</v>
      </c>
      <c r="B933" s="18" t="s">
        <v>66</v>
      </c>
      <c r="C933" s="18">
        <v>0</v>
      </c>
      <c r="D933" s="18">
        <v>0</v>
      </c>
      <c r="E933" s="18">
        <v>0</v>
      </c>
    </row>
    <row r="934" spans="1:5" x14ac:dyDescent="0.25">
      <c r="A934" s="18">
        <v>1997</v>
      </c>
      <c r="B934" s="18" t="s">
        <v>66</v>
      </c>
      <c r="C934" s="18">
        <v>0</v>
      </c>
      <c r="D934" s="18">
        <v>0</v>
      </c>
      <c r="E934" s="18">
        <v>0</v>
      </c>
    </row>
    <row r="935" spans="1:5" x14ac:dyDescent="0.25">
      <c r="A935" s="18">
        <v>1998</v>
      </c>
      <c r="B935" s="18" t="s">
        <v>66</v>
      </c>
      <c r="C935" s="18">
        <v>0</v>
      </c>
      <c r="D935" s="18">
        <v>0</v>
      </c>
      <c r="E935" s="18">
        <v>0</v>
      </c>
    </row>
    <row r="936" spans="1:5" x14ac:dyDescent="0.25">
      <c r="A936" s="18">
        <v>1999</v>
      </c>
      <c r="B936" s="18" t="s">
        <v>66</v>
      </c>
      <c r="C936" s="18">
        <v>0</v>
      </c>
      <c r="D936" s="18">
        <v>0</v>
      </c>
      <c r="E936" s="18">
        <v>0</v>
      </c>
    </row>
    <row r="937" spans="1:5" x14ac:dyDescent="0.25">
      <c r="A937" s="18">
        <v>2000</v>
      </c>
      <c r="B937" s="18" t="s">
        <v>66</v>
      </c>
      <c r="C937" s="18">
        <v>10274</v>
      </c>
      <c r="D937" s="18">
        <v>5390</v>
      </c>
      <c r="E937" s="18">
        <v>4885</v>
      </c>
    </row>
    <row r="938" spans="1:5" x14ac:dyDescent="0.25">
      <c r="A938" s="18">
        <v>2001</v>
      </c>
      <c r="B938" s="18" t="s">
        <v>66</v>
      </c>
      <c r="C938" s="18">
        <v>0</v>
      </c>
      <c r="D938" s="18">
        <v>0</v>
      </c>
      <c r="E938" s="18">
        <v>0</v>
      </c>
    </row>
    <row r="939" spans="1:5" x14ac:dyDescent="0.25">
      <c r="A939" s="18">
        <v>2002</v>
      </c>
      <c r="B939" s="18" t="s">
        <v>66</v>
      </c>
      <c r="C939" s="18">
        <v>0</v>
      </c>
      <c r="D939" s="18">
        <v>0</v>
      </c>
      <c r="E939" s="18">
        <v>0</v>
      </c>
    </row>
    <row r="940" spans="1:5" x14ac:dyDescent="0.25">
      <c r="A940" s="18">
        <v>2003</v>
      </c>
      <c r="B940" s="18" t="s">
        <v>66</v>
      </c>
      <c r="C940" s="18">
        <v>0</v>
      </c>
      <c r="D940" s="18">
        <v>0</v>
      </c>
      <c r="E940" s="18">
        <v>0</v>
      </c>
    </row>
    <row r="941" spans="1:5" x14ac:dyDescent="0.25">
      <c r="A941" s="18">
        <v>2004</v>
      </c>
      <c r="B941" s="18" t="s">
        <v>66</v>
      </c>
      <c r="C941" s="18">
        <v>0</v>
      </c>
      <c r="D941" s="18">
        <v>0</v>
      </c>
      <c r="E941" s="18">
        <v>0</v>
      </c>
    </row>
    <row r="942" spans="1:5" x14ac:dyDescent="0.25">
      <c r="A942" s="18">
        <v>2005</v>
      </c>
      <c r="B942" s="18" t="s">
        <v>66</v>
      </c>
      <c r="C942" s="18">
        <v>0</v>
      </c>
      <c r="D942" s="18">
        <v>0</v>
      </c>
      <c r="E942" s="18">
        <v>0</v>
      </c>
    </row>
    <row r="943" spans="1:5" x14ac:dyDescent="0.25">
      <c r="A943" s="18">
        <v>2006</v>
      </c>
      <c r="B943" s="18" t="s">
        <v>66</v>
      </c>
      <c r="C943" s="18">
        <v>0</v>
      </c>
      <c r="D943" s="18">
        <v>0</v>
      </c>
      <c r="E943" s="18">
        <v>0</v>
      </c>
    </row>
    <row r="944" spans="1:5" x14ac:dyDescent="0.25">
      <c r="A944" s="18">
        <v>2007</v>
      </c>
      <c r="B944" s="18" t="s">
        <v>66</v>
      </c>
      <c r="C944" s="18">
        <v>0</v>
      </c>
      <c r="D944" s="18">
        <v>0</v>
      </c>
      <c r="E944" s="18">
        <v>0</v>
      </c>
    </row>
    <row r="945" spans="1:5" x14ac:dyDescent="0.25">
      <c r="A945" s="18">
        <v>2008</v>
      </c>
      <c r="B945" s="18" t="s">
        <v>66</v>
      </c>
      <c r="C945" s="18">
        <v>0</v>
      </c>
      <c r="D945" s="18">
        <v>0</v>
      </c>
      <c r="E945" s="18">
        <v>0</v>
      </c>
    </row>
    <row r="946" spans="1:5" x14ac:dyDescent="0.25">
      <c r="A946" s="18">
        <v>1950</v>
      </c>
      <c r="B946" s="18" t="s">
        <v>67</v>
      </c>
      <c r="C946" s="18">
        <v>0</v>
      </c>
      <c r="D946" s="18">
        <v>0</v>
      </c>
      <c r="E946" s="18">
        <v>0</v>
      </c>
    </row>
    <row r="947" spans="1:5" x14ac:dyDescent="0.25">
      <c r="A947" s="18">
        <v>1951</v>
      </c>
      <c r="B947" s="18" t="s">
        <v>67</v>
      </c>
      <c r="C947" s="18">
        <v>0</v>
      </c>
      <c r="D947" s="18">
        <v>0</v>
      </c>
      <c r="E947" s="18">
        <v>0</v>
      </c>
    </row>
    <row r="948" spans="1:5" x14ac:dyDescent="0.25">
      <c r="A948" s="18">
        <v>1952</v>
      </c>
      <c r="B948" s="18" t="s">
        <v>67</v>
      </c>
      <c r="C948" s="18">
        <v>0</v>
      </c>
      <c r="D948" s="18">
        <v>0</v>
      </c>
      <c r="E948" s="18">
        <v>0</v>
      </c>
    </row>
    <row r="949" spans="1:5" x14ac:dyDescent="0.25">
      <c r="A949" s="18">
        <v>1953</v>
      </c>
      <c r="B949" s="18" t="s">
        <v>67</v>
      </c>
      <c r="C949" s="18">
        <v>0</v>
      </c>
      <c r="D949" s="18">
        <v>0</v>
      </c>
      <c r="E949" s="18">
        <v>0</v>
      </c>
    </row>
    <row r="950" spans="1:5" x14ac:dyDescent="0.25">
      <c r="A950" s="18">
        <v>1954</v>
      </c>
      <c r="B950" s="18" t="s">
        <v>67</v>
      </c>
      <c r="C950" s="18">
        <v>0</v>
      </c>
      <c r="D950" s="18">
        <v>0</v>
      </c>
      <c r="E950" s="18">
        <v>0</v>
      </c>
    </row>
    <row r="951" spans="1:5" x14ac:dyDescent="0.25">
      <c r="A951" s="18">
        <v>1955</v>
      </c>
      <c r="B951" s="18" t="s">
        <v>67</v>
      </c>
      <c r="C951" s="18">
        <v>0</v>
      </c>
      <c r="D951" s="18">
        <v>0</v>
      </c>
      <c r="E951" s="18">
        <v>0</v>
      </c>
    </row>
    <row r="952" spans="1:5" x14ac:dyDescent="0.25">
      <c r="A952" s="18">
        <v>1956</v>
      </c>
      <c r="B952" s="18" t="s">
        <v>67</v>
      </c>
      <c r="C952" s="18">
        <v>0</v>
      </c>
      <c r="D952" s="18">
        <v>0</v>
      </c>
      <c r="E952" s="18">
        <v>0</v>
      </c>
    </row>
    <row r="953" spans="1:5" x14ac:dyDescent="0.25">
      <c r="A953" s="18">
        <v>1957</v>
      </c>
      <c r="B953" s="18" t="s">
        <v>67</v>
      </c>
      <c r="C953" s="18">
        <v>0</v>
      </c>
      <c r="D953" s="18">
        <v>0</v>
      </c>
      <c r="E953" s="18">
        <v>0</v>
      </c>
    </row>
    <row r="954" spans="1:5" x14ac:dyDescent="0.25">
      <c r="A954" s="18">
        <v>1958</v>
      </c>
      <c r="B954" s="18" t="s">
        <v>67</v>
      </c>
      <c r="C954" s="18">
        <v>0</v>
      </c>
      <c r="D954" s="18">
        <v>0</v>
      </c>
      <c r="E954" s="18">
        <v>0</v>
      </c>
    </row>
    <row r="955" spans="1:5" x14ac:dyDescent="0.25">
      <c r="A955" s="18">
        <v>1959</v>
      </c>
      <c r="B955" s="18" t="s">
        <v>67</v>
      </c>
      <c r="C955" s="18">
        <v>0</v>
      </c>
      <c r="D955" s="18">
        <v>0</v>
      </c>
      <c r="E955" s="18">
        <v>0</v>
      </c>
    </row>
    <row r="956" spans="1:5" x14ac:dyDescent="0.25">
      <c r="A956" s="18">
        <v>1960</v>
      </c>
      <c r="B956" s="18" t="s">
        <v>67</v>
      </c>
      <c r="C956" s="18">
        <v>0</v>
      </c>
      <c r="D956" s="18">
        <v>0</v>
      </c>
      <c r="E956" s="18">
        <v>0</v>
      </c>
    </row>
    <row r="957" spans="1:5" x14ac:dyDescent="0.25">
      <c r="A957" s="18">
        <v>1961</v>
      </c>
      <c r="B957" s="18" t="s">
        <v>67</v>
      </c>
      <c r="C957" s="18">
        <v>0</v>
      </c>
      <c r="D957" s="18">
        <v>0</v>
      </c>
      <c r="E957" s="18">
        <v>0</v>
      </c>
    </row>
    <row r="958" spans="1:5" x14ac:dyDescent="0.25">
      <c r="A958" s="18">
        <v>1962</v>
      </c>
      <c r="B958" s="18" t="s">
        <v>67</v>
      </c>
      <c r="C958" s="18">
        <v>0</v>
      </c>
      <c r="D958" s="18">
        <v>0</v>
      </c>
      <c r="E958" s="18">
        <v>0</v>
      </c>
    </row>
    <row r="959" spans="1:5" x14ac:dyDescent="0.25">
      <c r="A959" s="18">
        <v>1963</v>
      </c>
      <c r="B959" s="18" t="s">
        <v>67</v>
      </c>
      <c r="C959" s="18">
        <v>0</v>
      </c>
      <c r="D959" s="18">
        <v>0</v>
      </c>
      <c r="E959" s="18">
        <v>0</v>
      </c>
    </row>
    <row r="960" spans="1:5" x14ac:dyDescent="0.25">
      <c r="A960" s="18">
        <v>1964</v>
      </c>
      <c r="B960" s="18" t="s">
        <v>67</v>
      </c>
      <c r="C960" s="18">
        <v>0</v>
      </c>
      <c r="D960" s="18">
        <v>0</v>
      </c>
      <c r="E960" s="18">
        <v>0</v>
      </c>
    </row>
    <row r="961" spans="1:5" x14ac:dyDescent="0.25">
      <c r="A961" s="18">
        <v>1965</v>
      </c>
      <c r="B961" s="18" t="s">
        <v>67</v>
      </c>
      <c r="C961" s="18">
        <v>0</v>
      </c>
      <c r="D961" s="18">
        <v>0</v>
      </c>
      <c r="E961" s="18">
        <v>0</v>
      </c>
    </row>
    <row r="962" spans="1:5" x14ac:dyDescent="0.25">
      <c r="A962" s="18">
        <v>1966</v>
      </c>
      <c r="B962" s="18" t="s">
        <v>67</v>
      </c>
      <c r="C962" s="18">
        <v>0</v>
      </c>
      <c r="D962" s="18">
        <v>0</v>
      </c>
      <c r="E962" s="18">
        <v>0</v>
      </c>
    </row>
    <row r="963" spans="1:5" x14ac:dyDescent="0.25">
      <c r="A963" s="18">
        <v>1967</v>
      </c>
      <c r="B963" s="18" t="s">
        <v>67</v>
      </c>
      <c r="C963" s="18">
        <v>0</v>
      </c>
      <c r="D963" s="18">
        <v>0</v>
      </c>
      <c r="E963" s="18">
        <v>0</v>
      </c>
    </row>
    <row r="964" spans="1:5" x14ac:dyDescent="0.25">
      <c r="A964" s="18">
        <v>1968</v>
      </c>
      <c r="B964" s="18" t="s">
        <v>67</v>
      </c>
      <c r="C964" s="18">
        <v>0</v>
      </c>
      <c r="D964" s="18">
        <v>0</v>
      </c>
      <c r="E964" s="18">
        <v>0</v>
      </c>
    </row>
    <row r="965" spans="1:5" x14ac:dyDescent="0.25">
      <c r="A965" s="18">
        <v>1969</v>
      </c>
      <c r="B965" s="18" t="s">
        <v>67</v>
      </c>
      <c r="C965" s="18">
        <v>0</v>
      </c>
      <c r="D965" s="18">
        <v>0</v>
      </c>
      <c r="E965" s="18">
        <v>0</v>
      </c>
    </row>
    <row r="966" spans="1:5" x14ac:dyDescent="0.25">
      <c r="A966" s="18">
        <v>1970</v>
      </c>
      <c r="B966" s="18" t="s">
        <v>67</v>
      </c>
      <c r="C966" s="18">
        <v>0</v>
      </c>
      <c r="D966" s="18">
        <v>0</v>
      </c>
      <c r="E966" s="18">
        <v>0</v>
      </c>
    </row>
    <row r="967" spans="1:5" x14ac:dyDescent="0.25">
      <c r="A967" s="18">
        <v>1971</v>
      </c>
      <c r="B967" s="18" t="s">
        <v>67</v>
      </c>
      <c r="C967" s="18">
        <v>0</v>
      </c>
      <c r="D967" s="18">
        <v>0</v>
      </c>
      <c r="E967" s="18">
        <v>0</v>
      </c>
    </row>
    <row r="968" spans="1:5" x14ac:dyDescent="0.25">
      <c r="A968" s="18">
        <v>1972</v>
      </c>
      <c r="B968" s="18" t="s">
        <v>67</v>
      </c>
      <c r="C968" s="18">
        <v>0</v>
      </c>
      <c r="D968" s="18">
        <v>0</v>
      </c>
      <c r="E968" s="18">
        <v>0</v>
      </c>
    </row>
    <row r="969" spans="1:5" x14ac:dyDescent="0.25">
      <c r="A969" s="18">
        <v>1973</v>
      </c>
      <c r="B969" s="18" t="s">
        <v>67</v>
      </c>
      <c r="C969" s="18">
        <v>0</v>
      </c>
      <c r="D969" s="18">
        <v>0</v>
      </c>
      <c r="E969" s="18">
        <v>0</v>
      </c>
    </row>
    <row r="970" spans="1:5" x14ac:dyDescent="0.25">
      <c r="A970" s="18">
        <v>1974</v>
      </c>
      <c r="B970" s="18" t="s">
        <v>67</v>
      </c>
      <c r="C970" s="18">
        <v>0</v>
      </c>
      <c r="D970" s="18">
        <v>0</v>
      </c>
      <c r="E970" s="18">
        <v>0</v>
      </c>
    </row>
    <row r="971" spans="1:5" x14ac:dyDescent="0.25">
      <c r="A971" s="18">
        <v>1975</v>
      </c>
      <c r="B971" s="18" t="s">
        <v>67</v>
      </c>
      <c r="C971" s="18">
        <v>1735</v>
      </c>
      <c r="D971" s="18">
        <v>884</v>
      </c>
      <c r="E971" s="18">
        <v>852</v>
      </c>
    </row>
    <row r="972" spans="1:5" x14ac:dyDescent="0.25">
      <c r="A972" s="18">
        <v>1976</v>
      </c>
      <c r="B972" s="18" t="s">
        <v>67</v>
      </c>
      <c r="C972" s="18">
        <v>0</v>
      </c>
      <c r="D972" s="18">
        <v>0</v>
      </c>
      <c r="E972" s="18">
        <v>0</v>
      </c>
    </row>
    <row r="973" spans="1:5" x14ac:dyDescent="0.25">
      <c r="A973" s="18">
        <v>1977</v>
      </c>
      <c r="B973" s="18" t="s">
        <v>67</v>
      </c>
      <c r="C973" s="18">
        <v>0</v>
      </c>
      <c r="D973" s="18">
        <v>0</v>
      </c>
      <c r="E973" s="18">
        <v>0</v>
      </c>
    </row>
    <row r="974" spans="1:5" x14ac:dyDescent="0.25">
      <c r="A974" s="18">
        <v>1978</v>
      </c>
      <c r="B974" s="18" t="s">
        <v>67</v>
      </c>
      <c r="C974" s="18">
        <v>0</v>
      </c>
      <c r="D974" s="18">
        <v>0</v>
      </c>
      <c r="E974" s="18">
        <v>0</v>
      </c>
    </row>
    <row r="975" spans="1:5" x14ac:dyDescent="0.25">
      <c r="A975" s="18">
        <v>1979</v>
      </c>
      <c r="B975" s="18" t="s">
        <v>67</v>
      </c>
      <c r="C975" s="18">
        <v>0</v>
      </c>
      <c r="D975" s="18">
        <v>0</v>
      </c>
      <c r="E975" s="18">
        <v>0</v>
      </c>
    </row>
    <row r="976" spans="1:5" x14ac:dyDescent="0.25">
      <c r="A976" s="18">
        <v>1980</v>
      </c>
      <c r="B976" s="18" t="s">
        <v>67</v>
      </c>
      <c r="C976" s="18">
        <v>1964</v>
      </c>
      <c r="D976" s="18">
        <v>1036</v>
      </c>
      <c r="E976" s="18">
        <v>928</v>
      </c>
    </row>
    <row r="977" spans="1:5" x14ac:dyDescent="0.25">
      <c r="A977" s="18">
        <v>1981</v>
      </c>
      <c r="B977" s="18" t="s">
        <v>67</v>
      </c>
      <c r="C977" s="18">
        <v>0</v>
      </c>
      <c r="D977" s="18">
        <v>0</v>
      </c>
      <c r="E977" s="18">
        <v>0</v>
      </c>
    </row>
    <row r="978" spans="1:5" x14ac:dyDescent="0.25">
      <c r="A978" s="18">
        <v>1982</v>
      </c>
      <c r="B978" s="18" t="s">
        <v>67</v>
      </c>
      <c r="C978" s="18">
        <v>0</v>
      </c>
      <c r="D978" s="18">
        <v>0</v>
      </c>
      <c r="E978" s="18">
        <v>0</v>
      </c>
    </row>
    <row r="979" spans="1:5" x14ac:dyDescent="0.25">
      <c r="A979" s="18">
        <v>1983</v>
      </c>
      <c r="B979" s="18" t="s">
        <v>67</v>
      </c>
      <c r="C979" s="18">
        <v>0</v>
      </c>
      <c r="D979" s="18">
        <v>0</v>
      </c>
      <c r="E979" s="18">
        <v>0</v>
      </c>
    </row>
    <row r="980" spans="1:5" x14ac:dyDescent="0.25">
      <c r="A980" s="18">
        <v>1984</v>
      </c>
      <c r="B980" s="18" t="s">
        <v>67</v>
      </c>
      <c r="C980" s="18">
        <v>0</v>
      </c>
      <c r="D980" s="18">
        <v>0</v>
      </c>
      <c r="E980" s="18">
        <v>0</v>
      </c>
    </row>
    <row r="981" spans="1:5" x14ac:dyDescent="0.25">
      <c r="A981" s="18">
        <v>1985</v>
      </c>
      <c r="B981" s="18" t="s">
        <v>67</v>
      </c>
      <c r="C981" s="18">
        <v>2331</v>
      </c>
      <c r="D981" s="18">
        <v>1183</v>
      </c>
      <c r="E981" s="18">
        <v>1147</v>
      </c>
    </row>
    <row r="982" spans="1:5" x14ac:dyDescent="0.25">
      <c r="A982" s="18">
        <v>1986</v>
      </c>
      <c r="B982" s="18" t="s">
        <v>67</v>
      </c>
      <c r="C982" s="18">
        <v>0</v>
      </c>
      <c r="D982" s="18">
        <v>0</v>
      </c>
      <c r="E982" s="18">
        <v>0</v>
      </c>
    </row>
    <row r="983" spans="1:5" x14ac:dyDescent="0.25">
      <c r="A983" s="18">
        <v>1987</v>
      </c>
      <c r="B983" s="18" t="s">
        <v>67</v>
      </c>
      <c r="C983" s="18">
        <v>0</v>
      </c>
      <c r="D983" s="18">
        <v>0</v>
      </c>
      <c r="E983" s="18">
        <v>0</v>
      </c>
    </row>
    <row r="984" spans="1:5" x14ac:dyDescent="0.25">
      <c r="A984" s="18">
        <v>1988</v>
      </c>
      <c r="B984" s="18" t="s">
        <v>67</v>
      </c>
      <c r="C984" s="18">
        <v>0</v>
      </c>
      <c r="D984" s="18">
        <v>0</v>
      </c>
      <c r="E984" s="18">
        <v>0</v>
      </c>
    </row>
    <row r="985" spans="1:5" x14ac:dyDescent="0.25">
      <c r="A985" s="18">
        <v>1989</v>
      </c>
      <c r="B985" s="18" t="s">
        <v>67</v>
      </c>
      <c r="C985" s="18">
        <v>0</v>
      </c>
      <c r="D985" s="18">
        <v>0</v>
      </c>
      <c r="E985" s="18">
        <v>0</v>
      </c>
    </row>
    <row r="986" spans="1:5" x14ac:dyDescent="0.25">
      <c r="A986" s="18">
        <v>1990</v>
      </c>
      <c r="B986" s="18" t="s">
        <v>67</v>
      </c>
      <c r="C986" s="18">
        <v>3143</v>
      </c>
      <c r="D986" s="18">
        <v>1600</v>
      </c>
      <c r="E986" s="18">
        <v>1543</v>
      </c>
    </row>
    <row r="987" spans="1:5" x14ac:dyDescent="0.25">
      <c r="A987" s="18">
        <v>1991</v>
      </c>
      <c r="B987" s="18" t="s">
        <v>67</v>
      </c>
      <c r="C987" s="18">
        <v>0</v>
      </c>
      <c r="D987" s="18">
        <v>0</v>
      </c>
      <c r="E987" s="18">
        <v>0</v>
      </c>
    </row>
    <row r="988" spans="1:5" x14ac:dyDescent="0.25">
      <c r="A988" s="18">
        <v>1992</v>
      </c>
      <c r="B988" s="18" t="s">
        <v>67</v>
      </c>
      <c r="C988" s="18">
        <v>0</v>
      </c>
      <c r="D988" s="18">
        <v>0</v>
      </c>
      <c r="E988" s="18">
        <v>0</v>
      </c>
    </row>
    <row r="989" spans="1:5" x14ac:dyDescent="0.25">
      <c r="A989" s="18">
        <v>1993</v>
      </c>
      <c r="B989" s="18" t="s">
        <v>67</v>
      </c>
      <c r="C989" s="18">
        <v>0</v>
      </c>
      <c r="D989" s="18">
        <v>0</v>
      </c>
      <c r="E989" s="18">
        <v>0</v>
      </c>
    </row>
    <row r="990" spans="1:5" x14ac:dyDescent="0.25">
      <c r="A990" s="18">
        <v>1994</v>
      </c>
      <c r="B990" s="18" t="s">
        <v>67</v>
      </c>
      <c r="C990" s="18">
        <v>0</v>
      </c>
      <c r="D990" s="18">
        <v>0</v>
      </c>
      <c r="E990" s="18">
        <v>0</v>
      </c>
    </row>
    <row r="991" spans="1:5" x14ac:dyDescent="0.25">
      <c r="A991" s="18">
        <v>1995</v>
      </c>
      <c r="B991" s="18" t="s">
        <v>67</v>
      </c>
      <c r="C991" s="18">
        <v>0</v>
      </c>
      <c r="D991" s="18">
        <v>0</v>
      </c>
      <c r="E991" s="18">
        <v>0</v>
      </c>
    </row>
    <row r="992" spans="1:5" x14ac:dyDescent="0.25">
      <c r="A992" s="18">
        <v>1996</v>
      </c>
      <c r="B992" s="18" t="s">
        <v>67</v>
      </c>
      <c r="C992" s="18">
        <v>0</v>
      </c>
      <c r="D992" s="18">
        <v>0</v>
      </c>
      <c r="E992" s="18">
        <v>0</v>
      </c>
    </row>
    <row r="993" spans="1:5" x14ac:dyDescent="0.25">
      <c r="A993" s="18">
        <v>1997</v>
      </c>
      <c r="B993" s="18" t="s">
        <v>67</v>
      </c>
      <c r="C993" s="18">
        <v>0</v>
      </c>
      <c r="D993" s="18">
        <v>0</v>
      </c>
      <c r="E993" s="18">
        <v>0</v>
      </c>
    </row>
    <row r="994" spans="1:5" x14ac:dyDescent="0.25">
      <c r="A994" s="18">
        <v>1998</v>
      </c>
      <c r="B994" s="18" t="s">
        <v>67</v>
      </c>
      <c r="C994" s="18">
        <v>0</v>
      </c>
      <c r="D994" s="18">
        <v>0</v>
      </c>
      <c r="E994" s="18">
        <v>0</v>
      </c>
    </row>
    <row r="995" spans="1:5" x14ac:dyDescent="0.25">
      <c r="A995" s="18">
        <v>1999</v>
      </c>
      <c r="B995" s="18" t="s">
        <v>67</v>
      </c>
      <c r="C995" s="18">
        <v>0</v>
      </c>
      <c r="D995" s="18">
        <v>0</v>
      </c>
      <c r="E995" s="18">
        <v>0</v>
      </c>
    </row>
    <row r="996" spans="1:5" x14ac:dyDescent="0.25">
      <c r="A996" s="18">
        <v>2000</v>
      </c>
      <c r="B996" s="18" t="s">
        <v>67</v>
      </c>
      <c r="C996" s="18">
        <v>3837</v>
      </c>
      <c r="D996" s="18">
        <v>1968</v>
      </c>
      <c r="E996" s="18">
        <v>1870</v>
      </c>
    </row>
    <row r="997" spans="1:5" x14ac:dyDescent="0.25">
      <c r="A997" s="18">
        <v>2001</v>
      </c>
      <c r="B997" s="18" t="s">
        <v>67</v>
      </c>
      <c r="C997" s="18">
        <v>0</v>
      </c>
      <c r="D997" s="18">
        <v>0</v>
      </c>
      <c r="E997" s="18">
        <v>0</v>
      </c>
    </row>
    <row r="998" spans="1:5" x14ac:dyDescent="0.25">
      <c r="A998" s="18">
        <v>2002</v>
      </c>
      <c r="B998" s="18" t="s">
        <v>67</v>
      </c>
      <c r="C998" s="18">
        <v>0</v>
      </c>
      <c r="D998" s="18">
        <v>0</v>
      </c>
      <c r="E998" s="18">
        <v>0</v>
      </c>
    </row>
    <row r="999" spans="1:5" x14ac:dyDescent="0.25">
      <c r="A999" s="18">
        <v>2003</v>
      </c>
      <c r="B999" s="18" t="s">
        <v>67</v>
      </c>
      <c r="C999" s="18">
        <v>0</v>
      </c>
      <c r="D999" s="18">
        <v>0</v>
      </c>
      <c r="E999" s="18">
        <v>0</v>
      </c>
    </row>
    <row r="1000" spans="1:5" x14ac:dyDescent="0.25">
      <c r="A1000" s="18">
        <v>2004</v>
      </c>
      <c r="B1000" s="18" t="s">
        <v>67</v>
      </c>
      <c r="C1000" s="18">
        <v>0</v>
      </c>
      <c r="D1000" s="18">
        <v>0</v>
      </c>
      <c r="E1000" s="18">
        <v>0</v>
      </c>
    </row>
    <row r="1001" spans="1:5" x14ac:dyDescent="0.25">
      <c r="A1001" s="18">
        <v>2005</v>
      </c>
      <c r="B1001" s="18" t="s">
        <v>67</v>
      </c>
      <c r="C1001" s="18">
        <v>0</v>
      </c>
      <c r="D1001" s="18">
        <v>0</v>
      </c>
      <c r="E1001" s="18">
        <v>0</v>
      </c>
    </row>
    <row r="1002" spans="1:5" x14ac:dyDescent="0.25">
      <c r="A1002" s="18">
        <v>2006</v>
      </c>
      <c r="B1002" s="18" t="s">
        <v>67</v>
      </c>
      <c r="C1002" s="18">
        <v>0</v>
      </c>
      <c r="D1002" s="18">
        <v>0</v>
      </c>
      <c r="E1002" s="18">
        <v>0</v>
      </c>
    </row>
    <row r="1003" spans="1:5" x14ac:dyDescent="0.25">
      <c r="A1003" s="18">
        <v>2007</v>
      </c>
      <c r="B1003" s="18" t="s">
        <v>67</v>
      </c>
      <c r="C1003" s="18">
        <v>0</v>
      </c>
      <c r="D1003" s="18">
        <v>0</v>
      </c>
      <c r="E1003" s="18">
        <v>0</v>
      </c>
    </row>
    <row r="1004" spans="1:5" x14ac:dyDescent="0.25">
      <c r="A1004" s="18">
        <v>2008</v>
      </c>
      <c r="B1004" s="18" t="s">
        <v>67</v>
      </c>
      <c r="C1004" s="18">
        <v>0</v>
      </c>
      <c r="D1004" s="18">
        <v>0</v>
      </c>
      <c r="E1004" s="18">
        <v>0</v>
      </c>
    </row>
    <row r="1005" spans="1:5" x14ac:dyDescent="0.25">
      <c r="A1005" s="18">
        <v>1950</v>
      </c>
      <c r="B1005" s="18" t="s">
        <v>71</v>
      </c>
      <c r="C1005" s="18">
        <v>0</v>
      </c>
      <c r="D1005" s="18">
        <v>0</v>
      </c>
      <c r="E1005" s="18">
        <v>0</v>
      </c>
    </row>
    <row r="1006" spans="1:5" x14ac:dyDescent="0.25">
      <c r="A1006" s="18">
        <v>1951</v>
      </c>
      <c r="B1006" s="18" t="s">
        <v>71</v>
      </c>
      <c r="C1006" s="18">
        <v>0</v>
      </c>
      <c r="D1006" s="18">
        <v>0</v>
      </c>
      <c r="E1006" s="18">
        <v>0</v>
      </c>
    </row>
    <row r="1007" spans="1:5" x14ac:dyDescent="0.25">
      <c r="A1007" s="18">
        <v>1952</v>
      </c>
      <c r="B1007" s="18" t="s">
        <v>71</v>
      </c>
      <c r="C1007" s="18">
        <v>0</v>
      </c>
      <c r="D1007" s="18">
        <v>0</v>
      </c>
      <c r="E1007" s="18">
        <v>0</v>
      </c>
    </row>
    <row r="1008" spans="1:5" x14ac:dyDescent="0.25">
      <c r="A1008" s="18">
        <v>1953</v>
      </c>
      <c r="B1008" s="18" t="s">
        <v>71</v>
      </c>
      <c r="C1008" s="18">
        <v>0</v>
      </c>
      <c r="D1008" s="18">
        <v>0</v>
      </c>
      <c r="E1008" s="18">
        <v>0</v>
      </c>
    </row>
    <row r="1009" spans="1:5" x14ac:dyDescent="0.25">
      <c r="A1009" s="18">
        <v>1954</v>
      </c>
      <c r="B1009" s="18" t="s">
        <v>71</v>
      </c>
      <c r="C1009" s="18">
        <v>0</v>
      </c>
      <c r="D1009" s="18">
        <v>0</v>
      </c>
      <c r="E1009" s="18">
        <v>0</v>
      </c>
    </row>
    <row r="1010" spans="1:5" x14ac:dyDescent="0.25">
      <c r="A1010" s="18">
        <v>1955</v>
      </c>
      <c r="B1010" s="18" t="s">
        <v>71</v>
      </c>
      <c r="C1010" s="18">
        <v>0</v>
      </c>
      <c r="D1010" s="18">
        <v>0</v>
      </c>
      <c r="E1010" s="18">
        <v>0</v>
      </c>
    </row>
    <row r="1011" spans="1:5" x14ac:dyDescent="0.25">
      <c r="A1011" s="18">
        <v>1956</v>
      </c>
      <c r="B1011" s="18" t="s">
        <v>71</v>
      </c>
      <c r="C1011" s="18">
        <v>0</v>
      </c>
      <c r="D1011" s="18">
        <v>0</v>
      </c>
      <c r="E1011" s="18">
        <v>0</v>
      </c>
    </row>
    <row r="1012" spans="1:5" x14ac:dyDescent="0.25">
      <c r="A1012" s="18">
        <v>1957</v>
      </c>
      <c r="B1012" s="18" t="s">
        <v>71</v>
      </c>
      <c r="C1012" s="18">
        <v>0</v>
      </c>
      <c r="D1012" s="18">
        <v>0</v>
      </c>
      <c r="E1012" s="18">
        <v>0</v>
      </c>
    </row>
    <row r="1013" spans="1:5" x14ac:dyDescent="0.25">
      <c r="A1013" s="18">
        <v>1958</v>
      </c>
      <c r="B1013" s="18" t="s">
        <v>71</v>
      </c>
      <c r="C1013" s="18">
        <v>0</v>
      </c>
      <c r="D1013" s="18">
        <v>0</v>
      </c>
      <c r="E1013" s="18">
        <v>0</v>
      </c>
    </row>
    <row r="1014" spans="1:5" x14ac:dyDescent="0.25">
      <c r="A1014" s="18">
        <v>1959</v>
      </c>
      <c r="B1014" s="18" t="s">
        <v>71</v>
      </c>
      <c r="C1014" s="18">
        <v>0</v>
      </c>
      <c r="D1014" s="18">
        <v>0</v>
      </c>
      <c r="E1014" s="18">
        <v>0</v>
      </c>
    </row>
    <row r="1015" spans="1:5" x14ac:dyDescent="0.25">
      <c r="A1015" s="18">
        <v>1960</v>
      </c>
      <c r="B1015" s="18" t="s">
        <v>71</v>
      </c>
      <c r="C1015" s="18">
        <v>0</v>
      </c>
      <c r="D1015" s="18">
        <v>0</v>
      </c>
      <c r="E1015" s="18">
        <v>0</v>
      </c>
    </row>
    <row r="1016" spans="1:5" x14ac:dyDescent="0.25">
      <c r="A1016" s="18">
        <v>1961</v>
      </c>
      <c r="B1016" s="18" t="s">
        <v>71</v>
      </c>
      <c r="C1016" s="18">
        <v>0</v>
      </c>
      <c r="D1016" s="18">
        <v>0</v>
      </c>
      <c r="E1016" s="18">
        <v>0</v>
      </c>
    </row>
    <row r="1017" spans="1:5" x14ac:dyDescent="0.25">
      <c r="A1017" s="18">
        <v>1962</v>
      </c>
      <c r="B1017" s="18" t="s">
        <v>71</v>
      </c>
      <c r="C1017" s="18">
        <v>0</v>
      </c>
      <c r="D1017" s="18">
        <v>0</v>
      </c>
      <c r="E1017" s="18">
        <v>0</v>
      </c>
    </row>
    <row r="1018" spans="1:5" x14ac:dyDescent="0.25">
      <c r="A1018" s="18">
        <v>1963</v>
      </c>
      <c r="B1018" s="18" t="s">
        <v>71</v>
      </c>
      <c r="C1018" s="18">
        <v>0</v>
      </c>
      <c r="D1018" s="18">
        <v>0</v>
      </c>
      <c r="E1018" s="18">
        <v>0</v>
      </c>
    </row>
    <row r="1019" spans="1:5" x14ac:dyDescent="0.25">
      <c r="A1019" s="18">
        <v>1964</v>
      </c>
      <c r="B1019" s="18" t="s">
        <v>71</v>
      </c>
      <c r="C1019" s="18">
        <v>0</v>
      </c>
      <c r="D1019" s="18">
        <v>0</v>
      </c>
      <c r="E1019" s="18">
        <v>0</v>
      </c>
    </row>
    <row r="1020" spans="1:5" x14ac:dyDescent="0.25">
      <c r="A1020" s="18">
        <v>1965</v>
      </c>
      <c r="B1020" s="18" t="s">
        <v>71</v>
      </c>
      <c r="C1020" s="18">
        <v>0</v>
      </c>
      <c r="D1020" s="18">
        <v>0</v>
      </c>
      <c r="E1020" s="18">
        <v>0</v>
      </c>
    </row>
    <row r="1021" spans="1:5" x14ac:dyDescent="0.25">
      <c r="A1021" s="18">
        <v>1966</v>
      </c>
      <c r="B1021" s="18" t="s">
        <v>71</v>
      </c>
      <c r="C1021" s="18">
        <v>0</v>
      </c>
      <c r="D1021" s="18">
        <v>0</v>
      </c>
      <c r="E1021" s="18">
        <v>0</v>
      </c>
    </row>
    <row r="1022" spans="1:5" x14ac:dyDescent="0.25">
      <c r="A1022" s="18">
        <v>1967</v>
      </c>
      <c r="B1022" s="18" t="s">
        <v>71</v>
      </c>
      <c r="C1022" s="18">
        <v>0</v>
      </c>
      <c r="D1022" s="18">
        <v>0</v>
      </c>
      <c r="E1022" s="18">
        <v>0</v>
      </c>
    </row>
    <row r="1023" spans="1:5" x14ac:dyDescent="0.25">
      <c r="A1023" s="18">
        <v>1968</v>
      </c>
      <c r="B1023" s="18" t="s">
        <v>71</v>
      </c>
      <c r="C1023" s="18">
        <v>0</v>
      </c>
      <c r="D1023" s="18">
        <v>0</v>
      </c>
      <c r="E1023" s="18">
        <v>0</v>
      </c>
    </row>
    <row r="1024" spans="1:5" x14ac:dyDescent="0.25">
      <c r="A1024" s="18">
        <v>1969</v>
      </c>
      <c r="B1024" s="18" t="s">
        <v>71</v>
      </c>
      <c r="C1024" s="18">
        <v>0</v>
      </c>
      <c r="D1024" s="18">
        <v>0</v>
      </c>
      <c r="E1024" s="18">
        <v>0</v>
      </c>
    </row>
    <row r="1025" spans="1:5" x14ac:dyDescent="0.25">
      <c r="A1025" s="18">
        <v>1970</v>
      </c>
      <c r="B1025" s="18" t="s">
        <v>71</v>
      </c>
      <c r="C1025" s="18">
        <v>0</v>
      </c>
      <c r="D1025" s="18">
        <v>0</v>
      </c>
      <c r="E1025" s="18">
        <v>0</v>
      </c>
    </row>
    <row r="1026" spans="1:5" x14ac:dyDescent="0.25">
      <c r="A1026" s="18">
        <v>1971</v>
      </c>
      <c r="B1026" s="18" t="s">
        <v>71</v>
      </c>
      <c r="C1026" s="18">
        <v>0</v>
      </c>
      <c r="D1026" s="18">
        <v>0</v>
      </c>
      <c r="E1026" s="18">
        <v>0</v>
      </c>
    </row>
    <row r="1027" spans="1:5" x14ac:dyDescent="0.25">
      <c r="A1027" s="18">
        <v>1972</v>
      </c>
      <c r="B1027" s="18" t="s">
        <v>71</v>
      </c>
      <c r="C1027" s="18">
        <v>0</v>
      </c>
      <c r="D1027" s="18">
        <v>0</v>
      </c>
      <c r="E1027" s="18">
        <v>0</v>
      </c>
    </row>
    <row r="1028" spans="1:5" x14ac:dyDescent="0.25">
      <c r="A1028" s="18">
        <v>1973</v>
      </c>
      <c r="B1028" s="18" t="s">
        <v>71</v>
      </c>
      <c r="C1028" s="18">
        <v>0</v>
      </c>
      <c r="D1028" s="18">
        <v>0</v>
      </c>
      <c r="E1028" s="18">
        <v>0</v>
      </c>
    </row>
    <row r="1029" spans="1:5" x14ac:dyDescent="0.25">
      <c r="A1029" s="18">
        <v>1974</v>
      </c>
      <c r="B1029" s="18" t="s">
        <v>71</v>
      </c>
      <c r="C1029" s="18">
        <v>0</v>
      </c>
      <c r="D1029" s="18">
        <v>0</v>
      </c>
      <c r="E1029" s="18">
        <v>0</v>
      </c>
    </row>
    <row r="1030" spans="1:5" x14ac:dyDescent="0.25">
      <c r="A1030" s="18">
        <v>1975</v>
      </c>
      <c r="B1030" s="18" t="s">
        <v>71</v>
      </c>
      <c r="C1030" s="18">
        <v>4506</v>
      </c>
      <c r="D1030" s="18">
        <v>2448</v>
      </c>
      <c r="E1030" s="18">
        <v>2060</v>
      </c>
    </row>
    <row r="1031" spans="1:5" x14ac:dyDescent="0.25">
      <c r="A1031" s="18">
        <v>1976</v>
      </c>
      <c r="B1031" s="18" t="s">
        <v>71</v>
      </c>
      <c r="C1031" s="18">
        <v>0</v>
      </c>
      <c r="D1031" s="18">
        <v>0</v>
      </c>
      <c r="E1031" s="18">
        <v>0</v>
      </c>
    </row>
    <row r="1032" spans="1:5" x14ac:dyDescent="0.25">
      <c r="A1032" s="18">
        <v>1977</v>
      </c>
      <c r="B1032" s="18" t="s">
        <v>71</v>
      </c>
      <c r="C1032" s="18">
        <v>0</v>
      </c>
      <c r="D1032" s="18">
        <v>0</v>
      </c>
      <c r="E1032" s="18">
        <v>0</v>
      </c>
    </row>
    <row r="1033" spans="1:5" x14ac:dyDescent="0.25">
      <c r="A1033" s="18">
        <v>1978</v>
      </c>
      <c r="B1033" s="18" t="s">
        <v>71</v>
      </c>
      <c r="C1033" s="18">
        <v>0</v>
      </c>
      <c r="D1033" s="18">
        <v>0</v>
      </c>
      <c r="E1033" s="18">
        <v>0</v>
      </c>
    </row>
    <row r="1034" spans="1:5" x14ac:dyDescent="0.25">
      <c r="A1034" s="18">
        <v>1979</v>
      </c>
      <c r="B1034" s="18" t="s">
        <v>71</v>
      </c>
      <c r="C1034" s="18">
        <v>0</v>
      </c>
      <c r="D1034" s="18">
        <v>0</v>
      </c>
      <c r="E1034" s="18">
        <v>0</v>
      </c>
    </row>
    <row r="1035" spans="1:5" x14ac:dyDescent="0.25">
      <c r="A1035" s="18">
        <v>1980</v>
      </c>
      <c r="B1035" s="18" t="s">
        <v>71</v>
      </c>
      <c r="C1035" s="18">
        <v>3809</v>
      </c>
      <c r="D1035" s="18">
        <v>1938</v>
      </c>
      <c r="E1035" s="18">
        <v>1870</v>
      </c>
    </row>
    <row r="1036" spans="1:5" x14ac:dyDescent="0.25">
      <c r="A1036" s="18">
        <v>1981</v>
      </c>
      <c r="B1036" s="18" t="s">
        <v>71</v>
      </c>
      <c r="C1036" s="18">
        <v>0</v>
      </c>
      <c r="D1036" s="18">
        <v>0</v>
      </c>
      <c r="E1036" s="18">
        <v>0</v>
      </c>
    </row>
    <row r="1037" spans="1:5" x14ac:dyDescent="0.25">
      <c r="A1037" s="18">
        <v>1982</v>
      </c>
      <c r="B1037" s="18" t="s">
        <v>71</v>
      </c>
      <c r="C1037" s="18">
        <v>0</v>
      </c>
      <c r="D1037" s="18">
        <v>0</v>
      </c>
      <c r="E1037" s="18">
        <v>0</v>
      </c>
    </row>
    <row r="1038" spans="1:5" x14ac:dyDescent="0.25">
      <c r="A1038" s="18">
        <v>1983</v>
      </c>
      <c r="B1038" s="18" t="s">
        <v>71</v>
      </c>
      <c r="C1038" s="18">
        <v>0</v>
      </c>
      <c r="D1038" s="18">
        <v>0</v>
      </c>
      <c r="E1038" s="18">
        <v>0</v>
      </c>
    </row>
    <row r="1039" spans="1:5" x14ac:dyDescent="0.25">
      <c r="A1039" s="18">
        <v>1984</v>
      </c>
      <c r="B1039" s="18" t="s">
        <v>71</v>
      </c>
      <c r="C1039" s="18">
        <v>0</v>
      </c>
      <c r="D1039" s="18">
        <v>0</v>
      </c>
      <c r="E1039" s="18">
        <v>0</v>
      </c>
    </row>
    <row r="1040" spans="1:5" x14ac:dyDescent="0.25">
      <c r="A1040" s="18">
        <v>1985</v>
      </c>
      <c r="B1040" s="18" t="s">
        <v>71</v>
      </c>
      <c r="C1040" s="18">
        <v>4037</v>
      </c>
      <c r="D1040" s="18">
        <v>2087</v>
      </c>
      <c r="E1040" s="18">
        <v>1951</v>
      </c>
    </row>
    <row r="1041" spans="1:5" x14ac:dyDescent="0.25">
      <c r="A1041" s="18">
        <v>1986</v>
      </c>
      <c r="B1041" s="18" t="s">
        <v>71</v>
      </c>
      <c r="C1041" s="18">
        <v>0</v>
      </c>
      <c r="D1041" s="18">
        <v>0</v>
      </c>
      <c r="E1041" s="18">
        <v>0</v>
      </c>
    </row>
    <row r="1042" spans="1:5" x14ac:dyDescent="0.25">
      <c r="A1042" s="18">
        <v>1987</v>
      </c>
      <c r="B1042" s="18" t="s">
        <v>71</v>
      </c>
      <c r="C1042" s="18">
        <v>0</v>
      </c>
      <c r="D1042" s="18">
        <v>0</v>
      </c>
      <c r="E1042" s="18">
        <v>0</v>
      </c>
    </row>
    <row r="1043" spans="1:5" x14ac:dyDescent="0.25">
      <c r="A1043" s="18">
        <v>1988</v>
      </c>
      <c r="B1043" s="18" t="s">
        <v>71</v>
      </c>
      <c r="C1043" s="18">
        <v>0</v>
      </c>
      <c r="D1043" s="18">
        <v>0</v>
      </c>
      <c r="E1043" s="18">
        <v>0</v>
      </c>
    </row>
    <row r="1044" spans="1:5" x14ac:dyDescent="0.25">
      <c r="A1044" s="18">
        <v>1989</v>
      </c>
      <c r="B1044" s="18" t="s">
        <v>71</v>
      </c>
      <c r="C1044" s="18">
        <v>0</v>
      </c>
      <c r="D1044" s="18">
        <v>0</v>
      </c>
      <c r="E1044" s="18">
        <v>0</v>
      </c>
    </row>
    <row r="1045" spans="1:5" x14ac:dyDescent="0.25">
      <c r="A1045" s="18">
        <v>1990</v>
      </c>
      <c r="B1045" s="18" t="s">
        <v>71</v>
      </c>
      <c r="C1045" s="18">
        <v>5985</v>
      </c>
      <c r="D1045" s="18">
        <v>3070</v>
      </c>
      <c r="E1045" s="18">
        <v>2915</v>
      </c>
    </row>
    <row r="1046" spans="1:5" x14ac:dyDescent="0.25">
      <c r="A1046" s="18">
        <v>1991</v>
      </c>
      <c r="B1046" s="18" t="s">
        <v>71</v>
      </c>
      <c r="C1046" s="18">
        <v>0</v>
      </c>
      <c r="D1046" s="18">
        <v>0</v>
      </c>
      <c r="E1046" s="18">
        <v>0</v>
      </c>
    </row>
    <row r="1047" spans="1:5" x14ac:dyDescent="0.25">
      <c r="A1047" s="18">
        <v>1992</v>
      </c>
      <c r="B1047" s="18" t="s">
        <v>71</v>
      </c>
      <c r="C1047" s="18">
        <v>0</v>
      </c>
      <c r="D1047" s="18">
        <v>0</v>
      </c>
      <c r="E1047" s="18">
        <v>0</v>
      </c>
    </row>
    <row r="1048" spans="1:5" x14ac:dyDescent="0.25">
      <c r="A1048" s="18">
        <v>1993</v>
      </c>
      <c r="B1048" s="18" t="s">
        <v>71</v>
      </c>
      <c r="C1048" s="18">
        <v>0</v>
      </c>
      <c r="D1048" s="18">
        <v>0</v>
      </c>
      <c r="E1048" s="18">
        <v>0</v>
      </c>
    </row>
    <row r="1049" spans="1:5" x14ac:dyDescent="0.25">
      <c r="A1049" s="18">
        <v>1994</v>
      </c>
      <c r="B1049" s="18" t="s">
        <v>71</v>
      </c>
      <c r="C1049" s="18">
        <v>0</v>
      </c>
      <c r="D1049" s="18">
        <v>0</v>
      </c>
      <c r="E1049" s="18">
        <v>0</v>
      </c>
    </row>
    <row r="1050" spans="1:5" x14ac:dyDescent="0.25">
      <c r="A1050" s="18">
        <v>1995</v>
      </c>
      <c r="B1050" s="18" t="s">
        <v>71</v>
      </c>
      <c r="C1050" s="18">
        <v>0</v>
      </c>
      <c r="D1050" s="18">
        <v>0</v>
      </c>
      <c r="E1050" s="18">
        <v>0</v>
      </c>
    </row>
    <row r="1051" spans="1:5" x14ac:dyDescent="0.25">
      <c r="A1051" s="18">
        <v>1996</v>
      </c>
      <c r="B1051" s="18" t="s">
        <v>71</v>
      </c>
      <c r="C1051" s="18">
        <v>0</v>
      </c>
      <c r="D1051" s="18">
        <v>0</v>
      </c>
      <c r="E1051" s="18">
        <v>0</v>
      </c>
    </row>
    <row r="1052" spans="1:5" x14ac:dyDescent="0.25">
      <c r="A1052" s="18">
        <v>1997</v>
      </c>
      <c r="B1052" s="18" t="s">
        <v>71</v>
      </c>
      <c r="C1052" s="18">
        <v>0</v>
      </c>
      <c r="D1052" s="18">
        <v>0</v>
      </c>
      <c r="E1052" s="18">
        <v>0</v>
      </c>
    </row>
    <row r="1053" spans="1:5" x14ac:dyDescent="0.25">
      <c r="A1053" s="18">
        <v>1998</v>
      </c>
      <c r="B1053" s="18" t="s">
        <v>71</v>
      </c>
      <c r="C1053" s="18">
        <v>0</v>
      </c>
      <c r="D1053" s="18">
        <v>0</v>
      </c>
      <c r="E1053" s="18">
        <v>0</v>
      </c>
    </row>
    <row r="1054" spans="1:5" x14ac:dyDescent="0.25">
      <c r="A1054" s="18">
        <v>1999</v>
      </c>
      <c r="B1054" s="18" t="s">
        <v>71</v>
      </c>
      <c r="C1054" s="18">
        <v>0</v>
      </c>
      <c r="D1054" s="18">
        <v>0</v>
      </c>
      <c r="E1054" s="18">
        <v>0</v>
      </c>
    </row>
    <row r="1055" spans="1:5" x14ac:dyDescent="0.25">
      <c r="A1055" s="18">
        <v>2000</v>
      </c>
      <c r="B1055" s="18" t="s">
        <v>71</v>
      </c>
      <c r="C1055" s="18">
        <v>7482</v>
      </c>
      <c r="D1055" s="18">
        <v>3802</v>
      </c>
      <c r="E1055" s="18">
        <v>3680</v>
      </c>
    </row>
    <row r="1056" spans="1:5" x14ac:dyDescent="0.25">
      <c r="A1056" s="18">
        <v>2001</v>
      </c>
      <c r="B1056" s="18" t="s">
        <v>71</v>
      </c>
      <c r="C1056" s="18">
        <v>0</v>
      </c>
      <c r="D1056" s="18">
        <v>0</v>
      </c>
      <c r="E1056" s="18">
        <v>0</v>
      </c>
    </row>
    <row r="1057" spans="1:5" x14ac:dyDescent="0.25">
      <c r="A1057" s="18">
        <v>2002</v>
      </c>
      <c r="B1057" s="18" t="s">
        <v>71</v>
      </c>
      <c r="C1057" s="18">
        <v>0</v>
      </c>
      <c r="D1057" s="18">
        <v>0</v>
      </c>
      <c r="E1057" s="18">
        <v>0</v>
      </c>
    </row>
    <row r="1058" spans="1:5" x14ac:dyDescent="0.25">
      <c r="A1058" s="18">
        <v>2003</v>
      </c>
      <c r="B1058" s="18" t="s">
        <v>71</v>
      </c>
      <c r="C1058" s="18">
        <v>0</v>
      </c>
      <c r="D1058" s="18">
        <v>0</v>
      </c>
      <c r="E1058" s="18">
        <v>0</v>
      </c>
    </row>
    <row r="1059" spans="1:5" x14ac:dyDescent="0.25">
      <c r="A1059" s="18">
        <v>2004</v>
      </c>
      <c r="B1059" s="18" t="s">
        <v>71</v>
      </c>
      <c r="C1059" s="18">
        <v>0</v>
      </c>
      <c r="D1059" s="18">
        <v>0</v>
      </c>
      <c r="E1059" s="18">
        <v>0</v>
      </c>
    </row>
    <row r="1060" spans="1:5" x14ac:dyDescent="0.25">
      <c r="A1060" s="18">
        <v>2005</v>
      </c>
      <c r="B1060" s="18" t="s">
        <v>71</v>
      </c>
      <c r="C1060" s="18">
        <v>0</v>
      </c>
      <c r="D1060" s="18">
        <v>0</v>
      </c>
      <c r="E1060" s="18">
        <v>0</v>
      </c>
    </row>
    <row r="1061" spans="1:5" x14ac:dyDescent="0.25">
      <c r="A1061" s="18">
        <v>2006</v>
      </c>
      <c r="B1061" s="18" t="s">
        <v>71</v>
      </c>
      <c r="C1061" s="18">
        <v>0</v>
      </c>
      <c r="D1061" s="18">
        <v>0</v>
      </c>
      <c r="E1061" s="18">
        <v>0</v>
      </c>
    </row>
    <row r="1062" spans="1:5" x14ac:dyDescent="0.25">
      <c r="A1062" s="18">
        <v>2007</v>
      </c>
      <c r="B1062" s="18" t="s">
        <v>71</v>
      </c>
      <c r="C1062" s="18">
        <v>0</v>
      </c>
      <c r="D1062" s="18">
        <v>0</v>
      </c>
      <c r="E1062" s="18">
        <v>0</v>
      </c>
    </row>
    <row r="1063" spans="1:5" x14ac:dyDescent="0.25">
      <c r="A1063" s="18">
        <v>2008</v>
      </c>
      <c r="B1063" s="18" t="s">
        <v>71</v>
      </c>
      <c r="C1063" s="18">
        <v>0</v>
      </c>
      <c r="D1063" s="18">
        <v>0</v>
      </c>
      <c r="E1063" s="18">
        <v>0</v>
      </c>
    </row>
    <row r="1064" spans="1:5" x14ac:dyDescent="0.25">
      <c r="A1064" s="18">
        <v>1950</v>
      </c>
      <c r="B1064" s="18" t="s">
        <v>75</v>
      </c>
      <c r="C1064" s="18">
        <v>0</v>
      </c>
      <c r="D1064" s="18">
        <v>0</v>
      </c>
      <c r="E1064" s="18">
        <v>0</v>
      </c>
    </row>
    <row r="1065" spans="1:5" x14ac:dyDescent="0.25">
      <c r="A1065" s="18">
        <v>1951</v>
      </c>
      <c r="B1065" s="18" t="s">
        <v>75</v>
      </c>
      <c r="C1065" s="18">
        <v>0</v>
      </c>
      <c r="D1065" s="18">
        <v>0</v>
      </c>
      <c r="E1065" s="18">
        <v>0</v>
      </c>
    </row>
    <row r="1066" spans="1:5" x14ac:dyDescent="0.25">
      <c r="A1066" s="18">
        <v>1952</v>
      </c>
      <c r="B1066" s="18" t="s">
        <v>75</v>
      </c>
      <c r="C1066" s="18">
        <v>0</v>
      </c>
      <c r="D1066" s="18">
        <v>0</v>
      </c>
      <c r="E1066" s="18">
        <v>0</v>
      </c>
    </row>
    <row r="1067" spans="1:5" x14ac:dyDescent="0.25">
      <c r="A1067" s="18">
        <v>1953</v>
      </c>
      <c r="B1067" s="18" t="s">
        <v>75</v>
      </c>
      <c r="C1067" s="18">
        <v>0</v>
      </c>
      <c r="D1067" s="18">
        <v>0</v>
      </c>
      <c r="E1067" s="18">
        <v>0</v>
      </c>
    </row>
    <row r="1068" spans="1:5" x14ac:dyDescent="0.25">
      <c r="A1068" s="18">
        <v>1954</v>
      </c>
      <c r="B1068" s="18" t="s">
        <v>75</v>
      </c>
      <c r="C1068" s="18">
        <v>0</v>
      </c>
      <c r="D1068" s="18">
        <v>0</v>
      </c>
      <c r="E1068" s="18">
        <v>0</v>
      </c>
    </row>
    <row r="1069" spans="1:5" x14ac:dyDescent="0.25">
      <c r="A1069" s="18">
        <v>1955</v>
      </c>
      <c r="B1069" s="18" t="s">
        <v>75</v>
      </c>
      <c r="C1069" s="18">
        <v>0</v>
      </c>
      <c r="D1069" s="18">
        <v>0</v>
      </c>
      <c r="E1069" s="18">
        <v>0</v>
      </c>
    </row>
    <row r="1070" spans="1:5" x14ac:dyDescent="0.25">
      <c r="A1070" s="18">
        <v>1956</v>
      </c>
      <c r="B1070" s="18" t="s">
        <v>75</v>
      </c>
      <c r="C1070" s="18">
        <v>0</v>
      </c>
      <c r="D1070" s="18">
        <v>0</v>
      </c>
      <c r="E1070" s="18">
        <v>0</v>
      </c>
    </row>
    <row r="1071" spans="1:5" x14ac:dyDescent="0.25">
      <c r="A1071" s="18">
        <v>1957</v>
      </c>
      <c r="B1071" s="18" t="s">
        <v>75</v>
      </c>
      <c r="C1071" s="18">
        <v>0</v>
      </c>
      <c r="D1071" s="18">
        <v>0</v>
      </c>
      <c r="E1071" s="18">
        <v>0</v>
      </c>
    </row>
    <row r="1072" spans="1:5" x14ac:dyDescent="0.25">
      <c r="A1072" s="18">
        <v>1958</v>
      </c>
      <c r="B1072" s="18" t="s">
        <v>75</v>
      </c>
      <c r="C1072" s="18">
        <v>0</v>
      </c>
      <c r="D1072" s="18">
        <v>0</v>
      </c>
      <c r="E1072" s="18">
        <v>0</v>
      </c>
    </row>
    <row r="1073" spans="1:5" x14ac:dyDescent="0.25">
      <c r="A1073" s="18">
        <v>1959</v>
      </c>
      <c r="B1073" s="18" t="s">
        <v>75</v>
      </c>
      <c r="C1073" s="18">
        <v>0</v>
      </c>
      <c r="D1073" s="18">
        <v>0</v>
      </c>
      <c r="E1073" s="18">
        <v>0</v>
      </c>
    </row>
    <row r="1074" spans="1:5" x14ac:dyDescent="0.25">
      <c r="A1074" s="18">
        <v>1960</v>
      </c>
      <c r="B1074" s="18" t="s">
        <v>75</v>
      </c>
      <c r="C1074" s="18">
        <v>0</v>
      </c>
      <c r="D1074" s="18">
        <v>0</v>
      </c>
      <c r="E1074" s="18">
        <v>0</v>
      </c>
    </row>
    <row r="1075" spans="1:5" x14ac:dyDescent="0.25">
      <c r="A1075" s="18">
        <v>1961</v>
      </c>
      <c r="B1075" s="18" t="s">
        <v>75</v>
      </c>
      <c r="C1075" s="18">
        <v>0</v>
      </c>
      <c r="D1075" s="18">
        <v>0</v>
      </c>
      <c r="E1075" s="18">
        <v>0</v>
      </c>
    </row>
    <row r="1076" spans="1:5" x14ac:dyDescent="0.25">
      <c r="A1076" s="18">
        <v>1962</v>
      </c>
      <c r="B1076" s="18" t="s">
        <v>75</v>
      </c>
      <c r="C1076" s="18">
        <v>0</v>
      </c>
      <c r="D1076" s="18">
        <v>0</v>
      </c>
      <c r="E1076" s="18">
        <v>0</v>
      </c>
    </row>
    <row r="1077" spans="1:5" x14ac:dyDescent="0.25">
      <c r="A1077" s="18">
        <v>1963</v>
      </c>
      <c r="B1077" s="18" t="s">
        <v>75</v>
      </c>
      <c r="C1077" s="18">
        <v>0</v>
      </c>
      <c r="D1077" s="18">
        <v>0</v>
      </c>
      <c r="E1077" s="18">
        <v>0</v>
      </c>
    </row>
    <row r="1078" spans="1:5" x14ac:dyDescent="0.25">
      <c r="A1078" s="18">
        <v>1964</v>
      </c>
      <c r="B1078" s="18" t="s">
        <v>75</v>
      </c>
      <c r="C1078" s="18">
        <v>0</v>
      </c>
      <c r="D1078" s="18">
        <v>0</v>
      </c>
      <c r="E1078" s="18">
        <v>0</v>
      </c>
    </row>
    <row r="1079" spans="1:5" x14ac:dyDescent="0.25">
      <c r="A1079" s="18">
        <v>1965</v>
      </c>
      <c r="B1079" s="18" t="s">
        <v>75</v>
      </c>
      <c r="C1079" s="18">
        <v>0</v>
      </c>
      <c r="D1079" s="18">
        <v>0</v>
      </c>
      <c r="E1079" s="18">
        <v>0</v>
      </c>
    </row>
    <row r="1080" spans="1:5" x14ac:dyDescent="0.25">
      <c r="A1080" s="18">
        <v>1966</v>
      </c>
      <c r="B1080" s="18" t="s">
        <v>75</v>
      </c>
      <c r="C1080" s="18">
        <v>0</v>
      </c>
      <c r="D1080" s="18">
        <v>0</v>
      </c>
      <c r="E1080" s="18">
        <v>0</v>
      </c>
    </row>
    <row r="1081" spans="1:5" x14ac:dyDescent="0.25">
      <c r="A1081" s="18">
        <v>1967</v>
      </c>
      <c r="B1081" s="18" t="s">
        <v>75</v>
      </c>
      <c r="C1081" s="18">
        <v>0</v>
      </c>
      <c r="D1081" s="18">
        <v>0</v>
      </c>
      <c r="E1081" s="18">
        <v>0</v>
      </c>
    </row>
    <row r="1082" spans="1:5" x14ac:dyDescent="0.25">
      <c r="A1082" s="18">
        <v>1968</v>
      </c>
      <c r="B1082" s="18" t="s">
        <v>75</v>
      </c>
      <c r="C1082" s="18">
        <v>0</v>
      </c>
      <c r="D1082" s="18">
        <v>0</v>
      </c>
      <c r="E1082" s="18">
        <v>0</v>
      </c>
    </row>
    <row r="1083" spans="1:5" x14ac:dyDescent="0.25">
      <c r="A1083" s="18">
        <v>1969</v>
      </c>
      <c r="B1083" s="18" t="s">
        <v>75</v>
      </c>
      <c r="C1083" s="18">
        <v>0</v>
      </c>
      <c r="D1083" s="18">
        <v>0</v>
      </c>
      <c r="E1083" s="18">
        <v>0</v>
      </c>
    </row>
    <row r="1084" spans="1:5" x14ac:dyDescent="0.25">
      <c r="A1084" s="18">
        <v>1970</v>
      </c>
      <c r="B1084" s="18" t="s">
        <v>75</v>
      </c>
      <c r="C1084" s="18">
        <v>0</v>
      </c>
      <c r="D1084" s="18">
        <v>0</v>
      </c>
      <c r="E1084" s="18">
        <v>0</v>
      </c>
    </row>
    <row r="1085" spans="1:5" x14ac:dyDescent="0.25">
      <c r="A1085" s="18">
        <v>1971</v>
      </c>
      <c r="B1085" s="18" t="s">
        <v>75</v>
      </c>
      <c r="C1085" s="18">
        <v>0</v>
      </c>
      <c r="D1085" s="18">
        <v>0</v>
      </c>
      <c r="E1085" s="18">
        <v>0</v>
      </c>
    </row>
    <row r="1086" spans="1:5" x14ac:dyDescent="0.25">
      <c r="A1086" s="18">
        <v>1972</v>
      </c>
      <c r="B1086" s="18" t="s">
        <v>75</v>
      </c>
      <c r="C1086" s="18">
        <v>0</v>
      </c>
      <c r="D1086" s="18">
        <v>0</v>
      </c>
      <c r="E1086" s="18">
        <v>0</v>
      </c>
    </row>
    <row r="1087" spans="1:5" x14ac:dyDescent="0.25">
      <c r="A1087" s="18">
        <v>1973</v>
      </c>
      <c r="B1087" s="18" t="s">
        <v>75</v>
      </c>
      <c r="C1087" s="18">
        <v>0</v>
      </c>
      <c r="D1087" s="18">
        <v>0</v>
      </c>
      <c r="E1087" s="18">
        <v>0</v>
      </c>
    </row>
    <row r="1088" spans="1:5" x14ac:dyDescent="0.25">
      <c r="A1088" s="18">
        <v>1974</v>
      </c>
      <c r="B1088" s="18" t="s">
        <v>75</v>
      </c>
      <c r="C1088" s="18">
        <v>0</v>
      </c>
      <c r="D1088" s="18">
        <v>0</v>
      </c>
      <c r="E1088" s="18">
        <v>0</v>
      </c>
    </row>
    <row r="1089" spans="1:5" x14ac:dyDescent="0.25">
      <c r="A1089" s="18">
        <v>1975</v>
      </c>
      <c r="B1089" s="18" t="s">
        <v>75</v>
      </c>
      <c r="C1089" s="18">
        <v>6327</v>
      </c>
      <c r="D1089" s="18">
        <v>3545</v>
      </c>
      <c r="E1089" s="18">
        <v>2779</v>
      </c>
    </row>
    <row r="1090" spans="1:5" x14ac:dyDescent="0.25">
      <c r="A1090" s="18">
        <v>1976</v>
      </c>
      <c r="B1090" s="18" t="s">
        <v>75</v>
      </c>
      <c r="C1090" s="18">
        <v>0</v>
      </c>
      <c r="D1090" s="18">
        <v>0</v>
      </c>
      <c r="E1090" s="18">
        <v>0</v>
      </c>
    </row>
    <row r="1091" spans="1:5" x14ac:dyDescent="0.25">
      <c r="A1091" s="18">
        <v>1977</v>
      </c>
      <c r="B1091" s="18" t="s">
        <v>75</v>
      </c>
      <c r="C1091" s="18">
        <v>0</v>
      </c>
      <c r="D1091" s="18">
        <v>0</v>
      </c>
      <c r="E1091" s="18">
        <v>0</v>
      </c>
    </row>
    <row r="1092" spans="1:5" x14ac:dyDescent="0.25">
      <c r="A1092" s="18">
        <v>1978</v>
      </c>
      <c r="B1092" s="18" t="s">
        <v>75</v>
      </c>
      <c r="C1092" s="18">
        <v>0</v>
      </c>
      <c r="D1092" s="18">
        <v>0</v>
      </c>
      <c r="E1092" s="18">
        <v>0</v>
      </c>
    </row>
    <row r="1093" spans="1:5" x14ac:dyDescent="0.25">
      <c r="A1093" s="18">
        <v>1979</v>
      </c>
      <c r="B1093" s="18" t="s">
        <v>75</v>
      </c>
      <c r="C1093" s="18">
        <v>0</v>
      </c>
      <c r="D1093" s="18">
        <v>0</v>
      </c>
      <c r="E1093" s="18">
        <v>0</v>
      </c>
    </row>
    <row r="1094" spans="1:5" x14ac:dyDescent="0.25">
      <c r="A1094" s="18">
        <v>1980</v>
      </c>
      <c r="B1094" s="18" t="s">
        <v>75</v>
      </c>
      <c r="C1094" s="18">
        <v>5564</v>
      </c>
      <c r="D1094" s="18">
        <v>2882</v>
      </c>
      <c r="E1094" s="18">
        <v>2683</v>
      </c>
    </row>
    <row r="1095" spans="1:5" x14ac:dyDescent="0.25">
      <c r="A1095" s="18">
        <v>1981</v>
      </c>
      <c r="B1095" s="18" t="s">
        <v>75</v>
      </c>
      <c r="C1095" s="18">
        <v>0</v>
      </c>
      <c r="D1095" s="18">
        <v>0</v>
      </c>
      <c r="E1095" s="18">
        <v>0</v>
      </c>
    </row>
    <row r="1096" spans="1:5" x14ac:dyDescent="0.25">
      <c r="A1096" s="18">
        <v>1982</v>
      </c>
      <c r="B1096" s="18" t="s">
        <v>75</v>
      </c>
      <c r="C1096" s="18">
        <v>0</v>
      </c>
      <c r="D1096" s="18">
        <v>0</v>
      </c>
      <c r="E1096" s="18">
        <v>0</v>
      </c>
    </row>
    <row r="1097" spans="1:5" x14ac:dyDescent="0.25">
      <c r="A1097" s="18">
        <v>1983</v>
      </c>
      <c r="B1097" s="18" t="s">
        <v>75</v>
      </c>
      <c r="C1097" s="18">
        <v>0</v>
      </c>
      <c r="D1097" s="18">
        <v>0</v>
      </c>
      <c r="E1097" s="18">
        <v>0</v>
      </c>
    </row>
    <row r="1098" spans="1:5" x14ac:dyDescent="0.25">
      <c r="A1098" s="18">
        <v>1984</v>
      </c>
      <c r="B1098" s="18" t="s">
        <v>75</v>
      </c>
      <c r="C1098" s="18">
        <v>0</v>
      </c>
      <c r="D1098" s="18">
        <v>0</v>
      </c>
      <c r="E1098" s="18">
        <v>0</v>
      </c>
    </row>
    <row r="1099" spans="1:5" x14ac:dyDescent="0.25">
      <c r="A1099" s="18">
        <v>1985</v>
      </c>
      <c r="B1099" s="18" t="s">
        <v>75</v>
      </c>
      <c r="C1099" s="18">
        <v>7814</v>
      </c>
      <c r="D1099" s="18">
        <v>4100</v>
      </c>
      <c r="E1099" s="18">
        <v>3713</v>
      </c>
    </row>
    <row r="1100" spans="1:5" x14ac:dyDescent="0.25">
      <c r="A1100" s="18">
        <v>1986</v>
      </c>
      <c r="B1100" s="18" t="s">
        <v>75</v>
      </c>
      <c r="C1100" s="18">
        <v>0</v>
      </c>
      <c r="D1100" s="18">
        <v>0</v>
      </c>
      <c r="E1100" s="18">
        <v>0</v>
      </c>
    </row>
    <row r="1101" spans="1:5" x14ac:dyDescent="0.25">
      <c r="A1101" s="18">
        <v>1987</v>
      </c>
      <c r="B1101" s="18" t="s">
        <v>75</v>
      </c>
      <c r="C1101" s="18">
        <v>0</v>
      </c>
      <c r="D1101" s="18">
        <v>0</v>
      </c>
      <c r="E1101" s="18">
        <v>0</v>
      </c>
    </row>
    <row r="1102" spans="1:5" x14ac:dyDescent="0.25">
      <c r="A1102" s="18">
        <v>1988</v>
      </c>
      <c r="B1102" s="18" t="s">
        <v>75</v>
      </c>
      <c r="C1102" s="18">
        <v>0</v>
      </c>
      <c r="D1102" s="18">
        <v>0</v>
      </c>
      <c r="E1102" s="18">
        <v>0</v>
      </c>
    </row>
    <row r="1103" spans="1:5" x14ac:dyDescent="0.25">
      <c r="A1103" s="18">
        <v>1989</v>
      </c>
      <c r="B1103" s="18" t="s">
        <v>75</v>
      </c>
      <c r="C1103" s="18">
        <v>0</v>
      </c>
      <c r="D1103" s="18">
        <v>0</v>
      </c>
      <c r="E1103" s="18">
        <v>0</v>
      </c>
    </row>
    <row r="1104" spans="1:5" x14ac:dyDescent="0.25">
      <c r="A1104" s="18">
        <v>1990</v>
      </c>
      <c r="B1104" s="18" t="s">
        <v>75</v>
      </c>
      <c r="C1104" s="18">
        <v>13247</v>
      </c>
      <c r="D1104" s="18">
        <v>6825</v>
      </c>
      <c r="E1104" s="18">
        <v>6423</v>
      </c>
    </row>
    <row r="1105" spans="1:5" x14ac:dyDescent="0.25">
      <c r="A1105" s="18">
        <v>1991</v>
      </c>
      <c r="B1105" s="18" t="s">
        <v>75</v>
      </c>
      <c r="C1105" s="18">
        <v>0</v>
      </c>
      <c r="D1105" s="18">
        <v>0</v>
      </c>
      <c r="E1105" s="18">
        <v>0</v>
      </c>
    </row>
    <row r="1106" spans="1:5" x14ac:dyDescent="0.25">
      <c r="A1106" s="18">
        <v>1992</v>
      </c>
      <c r="B1106" s="18" t="s">
        <v>75</v>
      </c>
      <c r="C1106" s="18">
        <v>0</v>
      </c>
      <c r="D1106" s="18">
        <v>0</v>
      </c>
      <c r="E1106" s="18">
        <v>0</v>
      </c>
    </row>
    <row r="1107" spans="1:5" x14ac:dyDescent="0.25">
      <c r="A1107" s="18">
        <v>1993</v>
      </c>
      <c r="B1107" s="18" t="s">
        <v>75</v>
      </c>
      <c r="C1107" s="18">
        <v>0</v>
      </c>
      <c r="D1107" s="18">
        <v>0</v>
      </c>
      <c r="E1107" s="18">
        <v>0</v>
      </c>
    </row>
    <row r="1108" spans="1:5" x14ac:dyDescent="0.25">
      <c r="A1108" s="18">
        <v>1994</v>
      </c>
      <c r="B1108" s="18" t="s">
        <v>75</v>
      </c>
      <c r="C1108" s="18">
        <v>0</v>
      </c>
      <c r="D1108" s="18">
        <v>0</v>
      </c>
      <c r="E1108" s="18">
        <v>0</v>
      </c>
    </row>
    <row r="1109" spans="1:5" x14ac:dyDescent="0.25">
      <c r="A1109" s="18">
        <v>1995</v>
      </c>
      <c r="B1109" s="18" t="s">
        <v>75</v>
      </c>
      <c r="C1109" s="18">
        <v>0</v>
      </c>
      <c r="D1109" s="18">
        <v>0</v>
      </c>
      <c r="E1109" s="18">
        <v>0</v>
      </c>
    </row>
    <row r="1110" spans="1:5" x14ac:dyDescent="0.25">
      <c r="A1110" s="18">
        <v>1996</v>
      </c>
      <c r="B1110" s="18" t="s">
        <v>75</v>
      </c>
      <c r="C1110" s="18">
        <v>0</v>
      </c>
      <c r="D1110" s="18">
        <v>0</v>
      </c>
      <c r="E1110" s="18">
        <v>0</v>
      </c>
    </row>
    <row r="1111" spans="1:5" x14ac:dyDescent="0.25">
      <c r="A1111" s="18">
        <v>1997</v>
      </c>
      <c r="B1111" s="18" t="s">
        <v>75</v>
      </c>
      <c r="C1111" s="18">
        <v>0</v>
      </c>
      <c r="D1111" s="18">
        <v>0</v>
      </c>
      <c r="E1111" s="18">
        <v>0</v>
      </c>
    </row>
    <row r="1112" spans="1:5" x14ac:dyDescent="0.25">
      <c r="A1112" s="18">
        <v>1998</v>
      </c>
      <c r="B1112" s="18" t="s">
        <v>75</v>
      </c>
      <c r="C1112" s="18">
        <v>0</v>
      </c>
      <c r="D1112" s="18">
        <v>0</v>
      </c>
      <c r="E1112" s="18">
        <v>0</v>
      </c>
    </row>
    <row r="1113" spans="1:5" x14ac:dyDescent="0.25">
      <c r="A1113" s="18">
        <v>1999</v>
      </c>
      <c r="B1113" s="18" t="s">
        <v>75</v>
      </c>
      <c r="C1113" s="18">
        <v>0</v>
      </c>
      <c r="D1113" s="18">
        <v>0</v>
      </c>
      <c r="E1113" s="18">
        <v>0</v>
      </c>
    </row>
    <row r="1114" spans="1:5" x14ac:dyDescent="0.25">
      <c r="A1114" s="18">
        <v>2000</v>
      </c>
      <c r="B1114" s="18" t="s">
        <v>75</v>
      </c>
      <c r="C1114" s="18">
        <v>22661</v>
      </c>
      <c r="D1114" s="18">
        <v>11872</v>
      </c>
      <c r="E1114" s="18">
        <v>10789</v>
      </c>
    </row>
    <row r="1115" spans="1:5" x14ac:dyDescent="0.25">
      <c r="A1115" s="18">
        <v>2001</v>
      </c>
      <c r="B1115" s="18" t="s">
        <v>75</v>
      </c>
      <c r="C1115" s="18">
        <v>0</v>
      </c>
      <c r="D1115" s="18">
        <v>0</v>
      </c>
      <c r="E1115" s="18">
        <v>0</v>
      </c>
    </row>
    <row r="1116" spans="1:5" x14ac:dyDescent="0.25">
      <c r="A1116" s="18">
        <v>2002</v>
      </c>
      <c r="B1116" s="18" t="s">
        <v>75</v>
      </c>
      <c r="C1116" s="18">
        <v>0</v>
      </c>
      <c r="D1116" s="18">
        <v>0</v>
      </c>
      <c r="E1116" s="18">
        <v>0</v>
      </c>
    </row>
    <row r="1117" spans="1:5" x14ac:dyDescent="0.25">
      <c r="A1117" s="18">
        <v>2003</v>
      </c>
      <c r="B1117" s="18" t="s">
        <v>75</v>
      </c>
      <c r="C1117" s="18">
        <v>0</v>
      </c>
      <c r="D1117" s="18">
        <v>0</v>
      </c>
      <c r="E1117" s="18">
        <v>0</v>
      </c>
    </row>
    <row r="1118" spans="1:5" x14ac:dyDescent="0.25">
      <c r="A1118" s="18">
        <v>2004</v>
      </c>
      <c r="B1118" s="18" t="s">
        <v>75</v>
      </c>
      <c r="C1118" s="18">
        <v>0</v>
      </c>
      <c r="D1118" s="18">
        <v>0</v>
      </c>
      <c r="E1118" s="18">
        <v>0</v>
      </c>
    </row>
    <row r="1119" spans="1:5" x14ac:dyDescent="0.25">
      <c r="A1119" s="18">
        <v>2005</v>
      </c>
      <c r="B1119" s="18" t="s">
        <v>75</v>
      </c>
      <c r="C1119" s="18">
        <v>0</v>
      </c>
      <c r="D1119" s="18">
        <v>0</v>
      </c>
      <c r="E1119" s="18">
        <v>0</v>
      </c>
    </row>
    <row r="1120" spans="1:5" x14ac:dyDescent="0.25">
      <c r="A1120" s="18">
        <v>2006</v>
      </c>
      <c r="B1120" s="18" t="s">
        <v>75</v>
      </c>
      <c r="C1120" s="18">
        <v>0</v>
      </c>
      <c r="D1120" s="18">
        <v>0</v>
      </c>
      <c r="E1120" s="18">
        <v>0</v>
      </c>
    </row>
    <row r="1121" spans="1:5" x14ac:dyDescent="0.25">
      <c r="A1121" s="18">
        <v>2007</v>
      </c>
      <c r="B1121" s="18" t="s">
        <v>75</v>
      </c>
      <c r="C1121" s="18">
        <v>0</v>
      </c>
      <c r="D1121" s="18">
        <v>0</v>
      </c>
      <c r="E1121" s="18">
        <v>0</v>
      </c>
    </row>
    <row r="1122" spans="1:5" x14ac:dyDescent="0.25">
      <c r="A1122" s="18">
        <v>2008</v>
      </c>
      <c r="B1122" s="18" t="s">
        <v>75</v>
      </c>
      <c r="C1122" s="18">
        <v>0</v>
      </c>
      <c r="D1122" s="18">
        <v>0</v>
      </c>
      <c r="E1122" s="18">
        <v>0</v>
      </c>
    </row>
    <row r="1123" spans="1:5" x14ac:dyDescent="0.25">
      <c r="A1123" s="18">
        <v>1950</v>
      </c>
      <c r="B1123" s="18" t="s">
        <v>78</v>
      </c>
      <c r="C1123" s="18">
        <v>0</v>
      </c>
      <c r="D1123" s="18">
        <v>0</v>
      </c>
      <c r="E1123" s="18">
        <v>0</v>
      </c>
    </row>
    <row r="1124" spans="1:5" x14ac:dyDescent="0.25">
      <c r="A1124" s="18">
        <v>1951</v>
      </c>
      <c r="B1124" s="18" t="s">
        <v>78</v>
      </c>
      <c r="C1124" s="18">
        <v>0</v>
      </c>
      <c r="D1124" s="18">
        <v>0</v>
      </c>
      <c r="E1124" s="18">
        <v>0</v>
      </c>
    </row>
    <row r="1125" spans="1:5" x14ac:dyDescent="0.25">
      <c r="A1125" s="18">
        <v>1952</v>
      </c>
      <c r="B1125" s="18" t="s">
        <v>78</v>
      </c>
      <c r="C1125" s="18">
        <v>0</v>
      </c>
      <c r="D1125" s="18">
        <v>0</v>
      </c>
      <c r="E1125" s="18">
        <v>0</v>
      </c>
    </row>
    <row r="1126" spans="1:5" x14ac:dyDescent="0.25">
      <c r="A1126" s="18">
        <v>1953</v>
      </c>
      <c r="B1126" s="18" t="s">
        <v>78</v>
      </c>
      <c r="C1126" s="18">
        <v>0</v>
      </c>
      <c r="D1126" s="18">
        <v>0</v>
      </c>
      <c r="E1126" s="18">
        <v>0</v>
      </c>
    </row>
    <row r="1127" spans="1:5" x14ac:dyDescent="0.25">
      <c r="A1127" s="18">
        <v>1954</v>
      </c>
      <c r="B1127" s="18" t="s">
        <v>78</v>
      </c>
      <c r="C1127" s="18">
        <v>0</v>
      </c>
      <c r="D1127" s="18">
        <v>0</v>
      </c>
      <c r="E1127" s="18">
        <v>0</v>
      </c>
    </row>
    <row r="1128" spans="1:5" x14ac:dyDescent="0.25">
      <c r="A1128" s="18">
        <v>1955</v>
      </c>
      <c r="B1128" s="18" t="s">
        <v>78</v>
      </c>
      <c r="C1128" s="18">
        <v>0</v>
      </c>
      <c r="D1128" s="18">
        <v>0</v>
      </c>
      <c r="E1128" s="18">
        <v>0</v>
      </c>
    </row>
    <row r="1129" spans="1:5" x14ac:dyDescent="0.25">
      <c r="A1129" s="18">
        <v>1956</v>
      </c>
      <c r="B1129" s="18" t="s">
        <v>78</v>
      </c>
      <c r="C1129" s="18">
        <v>0</v>
      </c>
      <c r="D1129" s="18">
        <v>0</v>
      </c>
      <c r="E1129" s="18">
        <v>0</v>
      </c>
    </row>
    <row r="1130" spans="1:5" x14ac:dyDescent="0.25">
      <c r="A1130" s="18">
        <v>1957</v>
      </c>
      <c r="B1130" s="18" t="s">
        <v>78</v>
      </c>
      <c r="C1130" s="18">
        <v>0</v>
      </c>
      <c r="D1130" s="18">
        <v>0</v>
      </c>
      <c r="E1130" s="18">
        <v>0</v>
      </c>
    </row>
    <row r="1131" spans="1:5" x14ac:dyDescent="0.25">
      <c r="A1131" s="18">
        <v>1958</v>
      </c>
      <c r="B1131" s="18" t="s">
        <v>78</v>
      </c>
      <c r="C1131" s="18">
        <v>0</v>
      </c>
      <c r="D1131" s="18">
        <v>0</v>
      </c>
      <c r="E1131" s="18">
        <v>0</v>
      </c>
    </row>
    <row r="1132" spans="1:5" x14ac:dyDescent="0.25">
      <c r="A1132" s="18">
        <v>1959</v>
      </c>
      <c r="B1132" s="18" t="s">
        <v>78</v>
      </c>
      <c r="C1132" s="18">
        <v>0</v>
      </c>
      <c r="D1132" s="18">
        <v>0</v>
      </c>
      <c r="E1132" s="18">
        <v>0</v>
      </c>
    </row>
    <row r="1133" spans="1:5" x14ac:dyDescent="0.25">
      <c r="A1133" s="18">
        <v>1960</v>
      </c>
      <c r="B1133" s="18" t="s">
        <v>78</v>
      </c>
      <c r="C1133" s="18">
        <v>0</v>
      </c>
      <c r="D1133" s="18">
        <v>0</v>
      </c>
      <c r="E1133" s="18">
        <v>0</v>
      </c>
    </row>
    <row r="1134" spans="1:5" x14ac:dyDescent="0.25">
      <c r="A1134" s="18">
        <v>1961</v>
      </c>
      <c r="B1134" s="18" t="s">
        <v>78</v>
      </c>
      <c r="C1134" s="18">
        <v>0</v>
      </c>
      <c r="D1134" s="18">
        <v>0</v>
      </c>
      <c r="E1134" s="18">
        <v>0</v>
      </c>
    </row>
    <row r="1135" spans="1:5" x14ac:dyDescent="0.25">
      <c r="A1135" s="18">
        <v>1962</v>
      </c>
      <c r="B1135" s="18" t="s">
        <v>78</v>
      </c>
      <c r="C1135" s="18">
        <v>0</v>
      </c>
      <c r="D1135" s="18">
        <v>0</v>
      </c>
      <c r="E1135" s="18">
        <v>0</v>
      </c>
    </row>
    <row r="1136" spans="1:5" x14ac:dyDescent="0.25">
      <c r="A1136" s="18">
        <v>1963</v>
      </c>
      <c r="B1136" s="18" t="s">
        <v>78</v>
      </c>
      <c r="C1136" s="18">
        <v>0</v>
      </c>
      <c r="D1136" s="18">
        <v>0</v>
      </c>
      <c r="E1136" s="18">
        <v>0</v>
      </c>
    </row>
    <row r="1137" spans="1:5" x14ac:dyDescent="0.25">
      <c r="A1137" s="18">
        <v>1964</v>
      </c>
      <c r="B1137" s="18" t="s">
        <v>78</v>
      </c>
      <c r="C1137" s="18">
        <v>0</v>
      </c>
      <c r="D1137" s="18">
        <v>0</v>
      </c>
      <c r="E1137" s="18">
        <v>0</v>
      </c>
    </row>
    <row r="1138" spans="1:5" x14ac:dyDescent="0.25">
      <c r="A1138" s="18">
        <v>1965</v>
      </c>
      <c r="B1138" s="18" t="s">
        <v>78</v>
      </c>
      <c r="C1138" s="18">
        <v>0</v>
      </c>
      <c r="D1138" s="18">
        <v>0</v>
      </c>
      <c r="E1138" s="18">
        <v>0</v>
      </c>
    </row>
    <row r="1139" spans="1:5" x14ac:dyDescent="0.25">
      <c r="A1139" s="18">
        <v>1966</v>
      </c>
      <c r="B1139" s="18" t="s">
        <v>78</v>
      </c>
      <c r="C1139" s="18">
        <v>0</v>
      </c>
      <c r="D1139" s="18">
        <v>0</v>
      </c>
      <c r="E1139" s="18">
        <v>0</v>
      </c>
    </row>
    <row r="1140" spans="1:5" x14ac:dyDescent="0.25">
      <c r="A1140" s="18">
        <v>1967</v>
      </c>
      <c r="B1140" s="18" t="s">
        <v>78</v>
      </c>
      <c r="C1140" s="18">
        <v>0</v>
      </c>
      <c r="D1140" s="18">
        <v>0</v>
      </c>
      <c r="E1140" s="18">
        <v>0</v>
      </c>
    </row>
    <row r="1141" spans="1:5" x14ac:dyDescent="0.25">
      <c r="A1141" s="18">
        <v>1968</v>
      </c>
      <c r="B1141" s="18" t="s">
        <v>78</v>
      </c>
      <c r="C1141" s="18">
        <v>0</v>
      </c>
      <c r="D1141" s="18">
        <v>0</v>
      </c>
      <c r="E1141" s="18">
        <v>0</v>
      </c>
    </row>
    <row r="1142" spans="1:5" x14ac:dyDescent="0.25">
      <c r="A1142" s="18">
        <v>1969</v>
      </c>
      <c r="B1142" s="18" t="s">
        <v>78</v>
      </c>
      <c r="C1142" s="18">
        <v>0</v>
      </c>
      <c r="D1142" s="18">
        <v>0</v>
      </c>
      <c r="E1142" s="18">
        <v>0</v>
      </c>
    </row>
    <row r="1143" spans="1:5" x14ac:dyDescent="0.25">
      <c r="A1143" s="18">
        <v>1970</v>
      </c>
      <c r="B1143" s="18" t="s">
        <v>78</v>
      </c>
      <c r="C1143" s="18">
        <v>0</v>
      </c>
      <c r="D1143" s="18">
        <v>0</v>
      </c>
      <c r="E1143" s="18">
        <v>0</v>
      </c>
    </row>
    <row r="1144" spans="1:5" x14ac:dyDescent="0.25">
      <c r="A1144" s="18">
        <v>1971</v>
      </c>
      <c r="B1144" s="18" t="s">
        <v>78</v>
      </c>
      <c r="C1144" s="18">
        <v>0</v>
      </c>
      <c r="D1144" s="18">
        <v>0</v>
      </c>
      <c r="E1144" s="18">
        <v>0</v>
      </c>
    </row>
    <row r="1145" spans="1:5" x14ac:dyDescent="0.25">
      <c r="A1145" s="18">
        <v>1972</v>
      </c>
      <c r="B1145" s="18" t="s">
        <v>78</v>
      </c>
      <c r="C1145" s="18">
        <v>0</v>
      </c>
      <c r="D1145" s="18">
        <v>0</v>
      </c>
      <c r="E1145" s="18">
        <v>0</v>
      </c>
    </row>
    <row r="1146" spans="1:5" x14ac:dyDescent="0.25">
      <c r="A1146" s="18">
        <v>1973</v>
      </c>
      <c r="B1146" s="18" t="s">
        <v>78</v>
      </c>
      <c r="C1146" s="18">
        <v>0</v>
      </c>
      <c r="D1146" s="18">
        <v>0</v>
      </c>
      <c r="E1146" s="18">
        <v>0</v>
      </c>
    </row>
    <row r="1147" spans="1:5" x14ac:dyDescent="0.25">
      <c r="A1147" s="18">
        <v>1974</v>
      </c>
      <c r="B1147" s="18" t="s">
        <v>78</v>
      </c>
      <c r="C1147" s="18">
        <v>0</v>
      </c>
      <c r="D1147" s="18">
        <v>0</v>
      </c>
      <c r="E1147" s="18">
        <v>0</v>
      </c>
    </row>
    <row r="1148" spans="1:5" x14ac:dyDescent="0.25">
      <c r="A1148" s="18">
        <v>1975</v>
      </c>
      <c r="B1148" s="18" t="s">
        <v>78</v>
      </c>
      <c r="C1148" s="18">
        <v>0</v>
      </c>
      <c r="D1148" s="18">
        <v>0</v>
      </c>
      <c r="E1148" s="18">
        <v>0</v>
      </c>
    </row>
    <row r="1149" spans="1:5" x14ac:dyDescent="0.25">
      <c r="A1149" s="18">
        <v>1976</v>
      </c>
      <c r="B1149" s="18" t="s">
        <v>78</v>
      </c>
      <c r="C1149" s="18">
        <v>0</v>
      </c>
      <c r="D1149" s="18">
        <v>0</v>
      </c>
      <c r="E1149" s="18">
        <v>0</v>
      </c>
    </row>
    <row r="1150" spans="1:5" x14ac:dyDescent="0.25">
      <c r="A1150" s="18">
        <v>1977</v>
      </c>
      <c r="B1150" s="18" t="s">
        <v>78</v>
      </c>
      <c r="C1150" s="18">
        <v>0</v>
      </c>
      <c r="D1150" s="18">
        <v>0</v>
      </c>
      <c r="E1150" s="18">
        <v>0</v>
      </c>
    </row>
    <row r="1151" spans="1:5" x14ac:dyDescent="0.25">
      <c r="A1151" s="18">
        <v>1978</v>
      </c>
      <c r="B1151" s="18" t="s">
        <v>78</v>
      </c>
      <c r="C1151" s="18">
        <v>0</v>
      </c>
      <c r="D1151" s="18">
        <v>0</v>
      </c>
      <c r="E1151" s="18">
        <v>0</v>
      </c>
    </row>
    <row r="1152" spans="1:5" x14ac:dyDescent="0.25">
      <c r="A1152" s="18">
        <v>1979</v>
      </c>
      <c r="B1152" s="18" t="s">
        <v>78</v>
      </c>
      <c r="C1152" s="18">
        <v>0</v>
      </c>
      <c r="D1152" s="18">
        <v>0</v>
      </c>
      <c r="E1152" s="18">
        <v>0</v>
      </c>
    </row>
    <row r="1153" spans="1:5" x14ac:dyDescent="0.25">
      <c r="A1153" s="18">
        <v>1980</v>
      </c>
      <c r="B1153" s="18" t="s">
        <v>78</v>
      </c>
      <c r="C1153" s="18">
        <v>0</v>
      </c>
      <c r="D1153" s="18">
        <v>0</v>
      </c>
      <c r="E1153" s="18">
        <v>0</v>
      </c>
    </row>
    <row r="1154" spans="1:5" x14ac:dyDescent="0.25">
      <c r="A1154" s="18">
        <v>1981</v>
      </c>
      <c r="B1154" s="18" t="s">
        <v>78</v>
      </c>
      <c r="C1154" s="18">
        <v>0</v>
      </c>
      <c r="D1154" s="18">
        <v>0</v>
      </c>
      <c r="E1154" s="18">
        <v>0</v>
      </c>
    </row>
    <row r="1155" spans="1:5" x14ac:dyDescent="0.25">
      <c r="A1155" s="18">
        <v>1982</v>
      </c>
      <c r="B1155" s="18" t="s">
        <v>78</v>
      </c>
      <c r="C1155" s="18">
        <v>0</v>
      </c>
      <c r="D1155" s="18">
        <v>0</v>
      </c>
      <c r="E1155" s="18">
        <v>0</v>
      </c>
    </row>
    <row r="1156" spans="1:5" x14ac:dyDescent="0.25">
      <c r="A1156" s="18">
        <v>1983</v>
      </c>
      <c r="B1156" s="18" t="s">
        <v>78</v>
      </c>
      <c r="C1156" s="18">
        <v>0</v>
      </c>
      <c r="D1156" s="18">
        <v>0</v>
      </c>
      <c r="E1156" s="18">
        <v>0</v>
      </c>
    </row>
    <row r="1157" spans="1:5" x14ac:dyDescent="0.25">
      <c r="A1157" s="18">
        <v>1984</v>
      </c>
      <c r="B1157" s="18" t="s">
        <v>78</v>
      </c>
      <c r="C1157" s="18">
        <v>0</v>
      </c>
      <c r="D1157" s="18">
        <v>0</v>
      </c>
      <c r="E1157" s="18">
        <v>0</v>
      </c>
    </row>
    <row r="1158" spans="1:5" x14ac:dyDescent="0.25">
      <c r="A1158" s="18">
        <v>1985</v>
      </c>
      <c r="B1158" s="18" t="s">
        <v>78</v>
      </c>
      <c r="C1158" s="18">
        <v>0</v>
      </c>
      <c r="D1158" s="18">
        <v>0</v>
      </c>
      <c r="E1158" s="18">
        <v>0</v>
      </c>
    </row>
    <row r="1159" spans="1:5" x14ac:dyDescent="0.25">
      <c r="A1159" s="18">
        <v>1986</v>
      </c>
      <c r="B1159" s="18" t="s">
        <v>78</v>
      </c>
      <c r="C1159" s="18">
        <v>0</v>
      </c>
      <c r="D1159" s="18">
        <v>0</v>
      </c>
      <c r="E1159" s="18">
        <v>0</v>
      </c>
    </row>
    <row r="1160" spans="1:5" x14ac:dyDescent="0.25">
      <c r="A1160" s="18">
        <v>1987</v>
      </c>
      <c r="B1160" s="18" t="s">
        <v>78</v>
      </c>
      <c r="C1160" s="18">
        <v>0</v>
      </c>
      <c r="D1160" s="18">
        <v>0</v>
      </c>
      <c r="E1160" s="18">
        <v>0</v>
      </c>
    </row>
    <row r="1161" spans="1:5" x14ac:dyDescent="0.25">
      <c r="A1161" s="18">
        <v>1988</v>
      </c>
      <c r="B1161" s="18" t="s">
        <v>78</v>
      </c>
      <c r="C1161" s="18">
        <v>0</v>
      </c>
      <c r="D1161" s="18">
        <v>0</v>
      </c>
      <c r="E1161" s="18">
        <v>0</v>
      </c>
    </row>
    <row r="1162" spans="1:5" x14ac:dyDescent="0.25">
      <c r="A1162" s="18">
        <v>1989</v>
      </c>
      <c r="B1162" s="18" t="s">
        <v>78</v>
      </c>
      <c r="C1162" s="18">
        <v>0</v>
      </c>
      <c r="D1162" s="18">
        <v>0</v>
      </c>
      <c r="E1162" s="18">
        <v>0</v>
      </c>
    </row>
    <row r="1163" spans="1:5" x14ac:dyDescent="0.25">
      <c r="A1163" s="18">
        <v>1990</v>
      </c>
      <c r="B1163" s="18" t="s">
        <v>78</v>
      </c>
      <c r="C1163" s="18">
        <v>3577</v>
      </c>
      <c r="D1163" s="18">
        <v>1836</v>
      </c>
      <c r="E1163" s="18">
        <v>1741</v>
      </c>
    </row>
    <row r="1164" spans="1:5" x14ac:dyDescent="0.25">
      <c r="A1164" s="18">
        <v>1991</v>
      </c>
      <c r="B1164" s="18" t="s">
        <v>78</v>
      </c>
      <c r="C1164" s="18">
        <v>0</v>
      </c>
      <c r="D1164" s="18">
        <v>0</v>
      </c>
      <c r="E1164" s="18">
        <v>0</v>
      </c>
    </row>
    <row r="1165" spans="1:5" x14ac:dyDescent="0.25">
      <c r="A1165" s="18">
        <v>1992</v>
      </c>
      <c r="B1165" s="18" t="s">
        <v>78</v>
      </c>
      <c r="C1165" s="18">
        <v>0</v>
      </c>
      <c r="D1165" s="18">
        <v>0</v>
      </c>
      <c r="E1165" s="18">
        <v>0</v>
      </c>
    </row>
    <row r="1166" spans="1:5" x14ac:dyDescent="0.25">
      <c r="A1166" s="18">
        <v>1993</v>
      </c>
      <c r="B1166" s="18" t="s">
        <v>78</v>
      </c>
      <c r="C1166" s="18">
        <v>0</v>
      </c>
      <c r="D1166" s="18">
        <v>0</v>
      </c>
      <c r="E1166" s="18">
        <v>0</v>
      </c>
    </row>
    <row r="1167" spans="1:5" x14ac:dyDescent="0.25">
      <c r="A1167" s="18">
        <v>1994</v>
      </c>
      <c r="B1167" s="18" t="s">
        <v>78</v>
      </c>
      <c r="C1167" s="18">
        <v>0</v>
      </c>
      <c r="D1167" s="18">
        <v>0</v>
      </c>
      <c r="E1167" s="18">
        <v>0</v>
      </c>
    </row>
    <row r="1168" spans="1:5" x14ac:dyDescent="0.25">
      <c r="A1168" s="18">
        <v>1995</v>
      </c>
      <c r="B1168" s="18" t="s">
        <v>78</v>
      </c>
      <c r="C1168" s="18">
        <v>0</v>
      </c>
      <c r="D1168" s="18">
        <v>0</v>
      </c>
      <c r="E1168" s="18">
        <v>0</v>
      </c>
    </row>
    <row r="1169" spans="1:5" x14ac:dyDescent="0.25">
      <c r="A1169" s="18">
        <v>1996</v>
      </c>
      <c r="B1169" s="18" t="s">
        <v>78</v>
      </c>
      <c r="C1169" s="18">
        <v>0</v>
      </c>
      <c r="D1169" s="18">
        <v>0</v>
      </c>
      <c r="E1169" s="18">
        <v>0</v>
      </c>
    </row>
    <row r="1170" spans="1:5" x14ac:dyDescent="0.25">
      <c r="A1170" s="18">
        <v>1997</v>
      </c>
      <c r="B1170" s="18" t="s">
        <v>78</v>
      </c>
      <c r="C1170" s="18">
        <v>0</v>
      </c>
      <c r="D1170" s="18">
        <v>0</v>
      </c>
      <c r="E1170" s="18">
        <v>0</v>
      </c>
    </row>
    <row r="1171" spans="1:5" x14ac:dyDescent="0.25">
      <c r="A1171" s="18">
        <v>1998</v>
      </c>
      <c r="B1171" s="18" t="s">
        <v>78</v>
      </c>
      <c r="C1171" s="18">
        <v>0</v>
      </c>
      <c r="D1171" s="18">
        <v>0</v>
      </c>
      <c r="E1171" s="18">
        <v>0</v>
      </c>
    </row>
    <row r="1172" spans="1:5" x14ac:dyDescent="0.25">
      <c r="A1172" s="18">
        <v>1999</v>
      </c>
      <c r="B1172" s="18" t="s">
        <v>78</v>
      </c>
      <c r="C1172" s="18">
        <v>0</v>
      </c>
      <c r="D1172" s="18">
        <v>0</v>
      </c>
      <c r="E1172" s="18">
        <v>0</v>
      </c>
    </row>
    <row r="1173" spans="1:5" x14ac:dyDescent="0.25">
      <c r="A1173" s="18">
        <v>2000</v>
      </c>
      <c r="B1173" s="18" t="s">
        <v>78</v>
      </c>
      <c r="C1173" s="18">
        <v>6698</v>
      </c>
      <c r="D1173" s="18">
        <v>3436</v>
      </c>
      <c r="E1173" s="18">
        <v>3260</v>
      </c>
    </row>
    <row r="1174" spans="1:5" x14ac:dyDescent="0.25">
      <c r="A1174" s="18">
        <v>2001</v>
      </c>
      <c r="B1174" s="18" t="s">
        <v>78</v>
      </c>
      <c r="C1174" s="18">
        <v>0</v>
      </c>
      <c r="D1174" s="18">
        <v>0</v>
      </c>
      <c r="E1174" s="18">
        <v>0</v>
      </c>
    </row>
    <row r="1175" spans="1:5" x14ac:dyDescent="0.25">
      <c r="A1175" s="18">
        <v>2002</v>
      </c>
      <c r="B1175" s="18" t="s">
        <v>78</v>
      </c>
      <c r="C1175" s="18">
        <v>0</v>
      </c>
      <c r="D1175" s="18">
        <v>0</v>
      </c>
      <c r="E1175" s="18">
        <v>0</v>
      </c>
    </row>
    <row r="1176" spans="1:5" x14ac:dyDescent="0.25">
      <c r="A1176" s="18">
        <v>2003</v>
      </c>
      <c r="B1176" s="18" t="s">
        <v>78</v>
      </c>
      <c r="C1176" s="18">
        <v>0</v>
      </c>
      <c r="D1176" s="18">
        <v>0</v>
      </c>
      <c r="E1176" s="18">
        <v>0</v>
      </c>
    </row>
    <row r="1177" spans="1:5" x14ac:dyDescent="0.25">
      <c r="A1177" s="18">
        <v>2004</v>
      </c>
      <c r="B1177" s="18" t="s">
        <v>78</v>
      </c>
      <c r="C1177" s="18">
        <v>0</v>
      </c>
      <c r="D1177" s="18">
        <v>0</v>
      </c>
      <c r="E1177" s="18">
        <v>0</v>
      </c>
    </row>
    <row r="1178" spans="1:5" x14ac:dyDescent="0.25">
      <c r="A1178" s="18">
        <v>2005</v>
      </c>
      <c r="B1178" s="18" t="s">
        <v>78</v>
      </c>
      <c r="C1178" s="18">
        <v>0</v>
      </c>
      <c r="D1178" s="18">
        <v>0</v>
      </c>
      <c r="E1178" s="18">
        <v>0</v>
      </c>
    </row>
    <row r="1179" spans="1:5" x14ac:dyDescent="0.25">
      <c r="A1179" s="18">
        <v>2006</v>
      </c>
      <c r="B1179" s="18" t="s">
        <v>78</v>
      </c>
      <c r="C1179" s="18">
        <v>0</v>
      </c>
      <c r="D1179" s="18">
        <v>0</v>
      </c>
      <c r="E1179" s="18">
        <v>0</v>
      </c>
    </row>
    <row r="1180" spans="1:5" x14ac:dyDescent="0.25">
      <c r="A1180" s="18">
        <v>2007</v>
      </c>
      <c r="B1180" s="18" t="s">
        <v>78</v>
      </c>
      <c r="C1180" s="18">
        <v>0</v>
      </c>
      <c r="D1180" s="18">
        <v>0</v>
      </c>
      <c r="E1180" s="18">
        <v>0</v>
      </c>
    </row>
    <row r="1181" spans="1:5" x14ac:dyDescent="0.25">
      <c r="A1181" s="18">
        <v>2008</v>
      </c>
      <c r="B1181" s="18" t="s">
        <v>78</v>
      </c>
      <c r="C1181" s="18">
        <v>0</v>
      </c>
      <c r="D1181" s="18">
        <v>0</v>
      </c>
      <c r="E1181" s="18">
        <v>0</v>
      </c>
    </row>
    <row r="1182" spans="1:5" x14ac:dyDescent="0.25">
      <c r="A1182" s="18">
        <v>1950</v>
      </c>
      <c r="B1182" s="18" t="s">
        <v>84</v>
      </c>
      <c r="C1182" s="18">
        <v>0</v>
      </c>
      <c r="D1182" s="18">
        <v>0</v>
      </c>
      <c r="E1182" s="18">
        <v>0</v>
      </c>
    </row>
    <row r="1183" spans="1:5" x14ac:dyDescent="0.25">
      <c r="A1183" s="18">
        <v>1951</v>
      </c>
      <c r="B1183" s="18" t="s">
        <v>84</v>
      </c>
      <c r="C1183" s="18">
        <v>0</v>
      </c>
      <c r="D1183" s="18">
        <v>0</v>
      </c>
      <c r="E1183" s="18">
        <v>0</v>
      </c>
    </row>
    <row r="1184" spans="1:5" x14ac:dyDescent="0.25">
      <c r="A1184" s="18">
        <v>1952</v>
      </c>
      <c r="B1184" s="18" t="s">
        <v>84</v>
      </c>
      <c r="C1184" s="18">
        <v>0</v>
      </c>
      <c r="D1184" s="18">
        <v>0</v>
      </c>
      <c r="E1184" s="18">
        <v>0</v>
      </c>
    </row>
    <row r="1185" spans="1:5" x14ac:dyDescent="0.25">
      <c r="A1185" s="18">
        <v>1953</v>
      </c>
      <c r="B1185" s="18" t="s">
        <v>84</v>
      </c>
      <c r="C1185" s="18">
        <v>0</v>
      </c>
      <c r="D1185" s="18">
        <v>0</v>
      </c>
      <c r="E1185" s="18">
        <v>0</v>
      </c>
    </row>
    <row r="1186" spans="1:5" x14ac:dyDescent="0.25">
      <c r="A1186" s="18">
        <v>1954</v>
      </c>
      <c r="B1186" s="18" t="s">
        <v>84</v>
      </c>
      <c r="C1186" s="18">
        <v>0</v>
      </c>
      <c r="D1186" s="18">
        <v>0</v>
      </c>
      <c r="E1186" s="18">
        <v>0</v>
      </c>
    </row>
    <row r="1187" spans="1:5" x14ac:dyDescent="0.25">
      <c r="A1187" s="18">
        <v>1955</v>
      </c>
      <c r="B1187" s="18" t="s">
        <v>84</v>
      </c>
      <c r="C1187" s="18">
        <v>0</v>
      </c>
      <c r="D1187" s="18">
        <v>0</v>
      </c>
      <c r="E1187" s="18">
        <v>0</v>
      </c>
    </row>
    <row r="1188" spans="1:5" x14ac:dyDescent="0.25">
      <c r="A1188" s="18">
        <v>1956</v>
      </c>
      <c r="B1188" s="18" t="s">
        <v>84</v>
      </c>
      <c r="C1188" s="18">
        <v>0</v>
      </c>
      <c r="D1188" s="18">
        <v>0</v>
      </c>
      <c r="E1188" s="18">
        <v>0</v>
      </c>
    </row>
    <row r="1189" spans="1:5" x14ac:dyDescent="0.25">
      <c r="A1189" s="18">
        <v>1957</v>
      </c>
      <c r="B1189" s="18" t="s">
        <v>84</v>
      </c>
      <c r="C1189" s="18">
        <v>0</v>
      </c>
      <c r="D1189" s="18">
        <v>0</v>
      </c>
      <c r="E1189" s="18">
        <v>0</v>
      </c>
    </row>
    <row r="1190" spans="1:5" x14ac:dyDescent="0.25">
      <c r="A1190" s="18">
        <v>1958</v>
      </c>
      <c r="B1190" s="18" t="s">
        <v>84</v>
      </c>
      <c r="C1190" s="18">
        <v>0</v>
      </c>
      <c r="D1190" s="18">
        <v>0</v>
      </c>
      <c r="E1190" s="18">
        <v>0</v>
      </c>
    </row>
    <row r="1191" spans="1:5" x14ac:dyDescent="0.25">
      <c r="A1191" s="18">
        <v>1959</v>
      </c>
      <c r="B1191" s="18" t="s">
        <v>84</v>
      </c>
      <c r="C1191" s="18">
        <v>0</v>
      </c>
      <c r="D1191" s="18">
        <v>0</v>
      </c>
      <c r="E1191" s="18">
        <v>0</v>
      </c>
    </row>
    <row r="1192" spans="1:5" x14ac:dyDescent="0.25">
      <c r="A1192" s="18">
        <v>1960</v>
      </c>
      <c r="B1192" s="18" t="s">
        <v>84</v>
      </c>
      <c r="C1192" s="18">
        <v>0</v>
      </c>
      <c r="D1192" s="18">
        <v>0</v>
      </c>
      <c r="E1192" s="18">
        <v>0</v>
      </c>
    </row>
    <row r="1193" spans="1:5" x14ac:dyDescent="0.25">
      <c r="A1193" s="18">
        <v>1961</v>
      </c>
      <c r="B1193" s="18" t="s">
        <v>84</v>
      </c>
      <c r="C1193" s="18">
        <v>0</v>
      </c>
      <c r="D1193" s="18">
        <v>0</v>
      </c>
      <c r="E1193" s="18">
        <v>0</v>
      </c>
    </row>
    <row r="1194" spans="1:5" x14ac:dyDescent="0.25">
      <c r="A1194" s="18">
        <v>1962</v>
      </c>
      <c r="B1194" s="18" t="s">
        <v>84</v>
      </c>
      <c r="C1194" s="18">
        <v>0</v>
      </c>
      <c r="D1194" s="18">
        <v>0</v>
      </c>
      <c r="E1194" s="18">
        <v>0</v>
      </c>
    </row>
    <row r="1195" spans="1:5" x14ac:dyDescent="0.25">
      <c r="A1195" s="18">
        <v>1963</v>
      </c>
      <c r="B1195" s="18" t="s">
        <v>84</v>
      </c>
      <c r="C1195" s="18">
        <v>0</v>
      </c>
      <c r="D1195" s="18">
        <v>0</v>
      </c>
      <c r="E1195" s="18">
        <v>0</v>
      </c>
    </row>
    <row r="1196" spans="1:5" x14ac:dyDescent="0.25">
      <c r="A1196" s="18">
        <v>1964</v>
      </c>
      <c r="B1196" s="18" t="s">
        <v>84</v>
      </c>
      <c r="C1196" s="18">
        <v>0</v>
      </c>
      <c r="D1196" s="18">
        <v>0</v>
      </c>
      <c r="E1196" s="18">
        <v>0</v>
      </c>
    </row>
    <row r="1197" spans="1:5" x14ac:dyDescent="0.25">
      <c r="A1197" s="18">
        <v>1965</v>
      </c>
      <c r="B1197" s="18" t="s">
        <v>84</v>
      </c>
      <c r="C1197" s="18">
        <v>0</v>
      </c>
      <c r="D1197" s="18">
        <v>0</v>
      </c>
      <c r="E1197" s="18">
        <v>0</v>
      </c>
    </row>
    <row r="1198" spans="1:5" x14ac:dyDescent="0.25">
      <c r="A1198" s="18">
        <v>1966</v>
      </c>
      <c r="B1198" s="18" t="s">
        <v>84</v>
      </c>
      <c r="C1198" s="18">
        <v>0</v>
      </c>
      <c r="D1198" s="18">
        <v>0</v>
      </c>
      <c r="E1198" s="18">
        <v>0</v>
      </c>
    </row>
    <row r="1199" spans="1:5" x14ac:dyDescent="0.25">
      <c r="A1199" s="18">
        <v>1967</v>
      </c>
      <c r="B1199" s="18" t="s">
        <v>84</v>
      </c>
      <c r="C1199" s="18">
        <v>0</v>
      </c>
      <c r="D1199" s="18">
        <v>0</v>
      </c>
      <c r="E1199" s="18">
        <v>0</v>
      </c>
    </row>
    <row r="1200" spans="1:5" x14ac:dyDescent="0.25">
      <c r="A1200" s="18">
        <v>1968</v>
      </c>
      <c r="B1200" s="18" t="s">
        <v>84</v>
      </c>
      <c r="C1200" s="18">
        <v>0</v>
      </c>
      <c r="D1200" s="18">
        <v>0</v>
      </c>
      <c r="E1200" s="18">
        <v>0</v>
      </c>
    </row>
    <row r="1201" spans="1:5" x14ac:dyDescent="0.25">
      <c r="A1201" s="18">
        <v>1969</v>
      </c>
      <c r="B1201" s="18" t="s">
        <v>84</v>
      </c>
      <c r="C1201" s="18">
        <v>0</v>
      </c>
      <c r="D1201" s="18">
        <v>0</v>
      </c>
      <c r="E1201" s="18">
        <v>0</v>
      </c>
    </row>
    <row r="1202" spans="1:5" x14ac:dyDescent="0.25">
      <c r="A1202" s="18">
        <v>1970</v>
      </c>
      <c r="B1202" s="18" t="s">
        <v>84</v>
      </c>
      <c r="C1202" s="18">
        <v>0</v>
      </c>
      <c r="D1202" s="18">
        <v>0</v>
      </c>
      <c r="E1202" s="18">
        <v>0</v>
      </c>
    </row>
    <row r="1203" spans="1:5" x14ac:dyDescent="0.25">
      <c r="A1203" s="18">
        <v>1971</v>
      </c>
      <c r="B1203" s="18" t="s">
        <v>84</v>
      </c>
      <c r="C1203" s="18">
        <v>0</v>
      </c>
      <c r="D1203" s="18">
        <v>0</v>
      </c>
      <c r="E1203" s="18">
        <v>0</v>
      </c>
    </row>
    <row r="1204" spans="1:5" x14ac:dyDescent="0.25">
      <c r="A1204" s="18">
        <v>1972</v>
      </c>
      <c r="B1204" s="18" t="s">
        <v>84</v>
      </c>
      <c r="C1204" s="18">
        <v>0</v>
      </c>
      <c r="D1204" s="18">
        <v>0</v>
      </c>
      <c r="E1204" s="18">
        <v>0</v>
      </c>
    </row>
    <row r="1205" spans="1:5" x14ac:dyDescent="0.25">
      <c r="A1205" s="18">
        <v>1973</v>
      </c>
      <c r="B1205" s="18" t="s">
        <v>84</v>
      </c>
      <c r="C1205" s="18">
        <v>0</v>
      </c>
      <c r="D1205" s="18">
        <v>0</v>
      </c>
      <c r="E1205" s="18">
        <v>0</v>
      </c>
    </row>
    <row r="1206" spans="1:5" x14ac:dyDescent="0.25">
      <c r="A1206" s="18">
        <v>1974</v>
      </c>
      <c r="B1206" s="18" t="s">
        <v>84</v>
      </c>
      <c r="C1206" s="18">
        <v>0</v>
      </c>
      <c r="D1206" s="18">
        <v>0</v>
      </c>
      <c r="E1206" s="18">
        <v>0</v>
      </c>
    </row>
    <row r="1207" spans="1:5" x14ac:dyDescent="0.25">
      <c r="A1207" s="18">
        <v>1975</v>
      </c>
      <c r="B1207" s="18" t="s">
        <v>84</v>
      </c>
      <c r="C1207" s="18">
        <v>3285</v>
      </c>
      <c r="D1207" s="18">
        <v>1700</v>
      </c>
      <c r="E1207" s="18">
        <v>1586</v>
      </c>
    </row>
    <row r="1208" spans="1:5" x14ac:dyDescent="0.25">
      <c r="A1208" s="18">
        <v>1976</v>
      </c>
      <c r="B1208" s="18" t="s">
        <v>84</v>
      </c>
      <c r="C1208" s="18">
        <v>0</v>
      </c>
      <c r="D1208" s="18">
        <v>0</v>
      </c>
      <c r="E1208" s="18">
        <v>0</v>
      </c>
    </row>
    <row r="1209" spans="1:5" x14ac:dyDescent="0.25">
      <c r="A1209" s="18">
        <v>1977</v>
      </c>
      <c r="B1209" s="18" t="s">
        <v>84</v>
      </c>
      <c r="C1209" s="18">
        <v>0</v>
      </c>
      <c r="D1209" s="18">
        <v>0</v>
      </c>
      <c r="E1209" s="18">
        <v>0</v>
      </c>
    </row>
    <row r="1210" spans="1:5" x14ac:dyDescent="0.25">
      <c r="A1210" s="18">
        <v>1978</v>
      </c>
      <c r="B1210" s="18" t="s">
        <v>84</v>
      </c>
      <c r="C1210" s="18">
        <v>0</v>
      </c>
      <c r="D1210" s="18">
        <v>0</v>
      </c>
      <c r="E1210" s="18">
        <v>0</v>
      </c>
    </row>
    <row r="1211" spans="1:5" x14ac:dyDescent="0.25">
      <c r="A1211" s="18">
        <v>1979</v>
      </c>
      <c r="B1211" s="18" t="s">
        <v>84</v>
      </c>
      <c r="C1211" s="18">
        <v>0</v>
      </c>
      <c r="D1211" s="18">
        <v>0</v>
      </c>
      <c r="E1211" s="18">
        <v>0</v>
      </c>
    </row>
    <row r="1212" spans="1:5" x14ac:dyDescent="0.25">
      <c r="A1212" s="18">
        <v>1980</v>
      </c>
      <c r="B1212" s="18" t="s">
        <v>84</v>
      </c>
      <c r="C1212" s="18">
        <v>4009</v>
      </c>
      <c r="D1212" s="18">
        <v>2084</v>
      </c>
      <c r="E1212" s="18">
        <v>1925</v>
      </c>
    </row>
    <row r="1213" spans="1:5" x14ac:dyDescent="0.25">
      <c r="A1213" s="18">
        <v>1981</v>
      </c>
      <c r="B1213" s="18" t="s">
        <v>84</v>
      </c>
      <c r="C1213" s="18">
        <v>0</v>
      </c>
      <c r="D1213" s="18">
        <v>0</v>
      </c>
      <c r="E1213" s="18">
        <v>0</v>
      </c>
    </row>
    <row r="1214" spans="1:5" x14ac:dyDescent="0.25">
      <c r="A1214" s="18">
        <v>1982</v>
      </c>
      <c r="B1214" s="18" t="s">
        <v>84</v>
      </c>
      <c r="C1214" s="18">
        <v>0</v>
      </c>
      <c r="D1214" s="18">
        <v>0</v>
      </c>
      <c r="E1214" s="18">
        <v>0</v>
      </c>
    </row>
    <row r="1215" spans="1:5" x14ac:dyDescent="0.25">
      <c r="A1215" s="18">
        <v>1983</v>
      </c>
      <c r="B1215" s="18" t="s">
        <v>84</v>
      </c>
      <c r="C1215" s="18">
        <v>0</v>
      </c>
      <c r="D1215" s="18">
        <v>0</v>
      </c>
      <c r="E1215" s="18">
        <v>0</v>
      </c>
    </row>
    <row r="1216" spans="1:5" x14ac:dyDescent="0.25">
      <c r="A1216" s="18">
        <v>1984</v>
      </c>
      <c r="B1216" s="18" t="s">
        <v>84</v>
      </c>
      <c r="C1216" s="18">
        <v>0</v>
      </c>
      <c r="D1216" s="18">
        <v>0</v>
      </c>
      <c r="E1216" s="18">
        <v>0</v>
      </c>
    </row>
    <row r="1217" spans="1:5" x14ac:dyDescent="0.25">
      <c r="A1217" s="18">
        <v>1985</v>
      </c>
      <c r="B1217" s="18" t="s">
        <v>84</v>
      </c>
      <c r="C1217" s="18">
        <v>4158</v>
      </c>
      <c r="D1217" s="18">
        <v>2189</v>
      </c>
      <c r="E1217" s="18">
        <v>1968</v>
      </c>
    </row>
    <row r="1218" spans="1:5" x14ac:dyDescent="0.25">
      <c r="A1218" s="18">
        <v>1986</v>
      </c>
      <c r="B1218" s="18" t="s">
        <v>84</v>
      </c>
      <c r="C1218" s="18">
        <v>0</v>
      </c>
      <c r="D1218" s="18">
        <v>0</v>
      </c>
      <c r="E1218" s="18">
        <v>0</v>
      </c>
    </row>
    <row r="1219" spans="1:5" x14ac:dyDescent="0.25">
      <c r="A1219" s="18">
        <v>1987</v>
      </c>
      <c r="B1219" s="18" t="s">
        <v>84</v>
      </c>
      <c r="C1219" s="18">
        <v>0</v>
      </c>
      <c r="D1219" s="18">
        <v>0</v>
      </c>
      <c r="E1219" s="18">
        <v>0</v>
      </c>
    </row>
    <row r="1220" spans="1:5" x14ac:dyDescent="0.25">
      <c r="A1220" s="18">
        <v>1988</v>
      </c>
      <c r="B1220" s="18" t="s">
        <v>84</v>
      </c>
      <c r="C1220" s="18">
        <v>0</v>
      </c>
      <c r="D1220" s="18">
        <v>0</v>
      </c>
      <c r="E1220" s="18">
        <v>0</v>
      </c>
    </row>
    <row r="1221" spans="1:5" x14ac:dyDescent="0.25">
      <c r="A1221" s="18">
        <v>1989</v>
      </c>
      <c r="B1221" s="18" t="s">
        <v>84</v>
      </c>
      <c r="C1221" s="18">
        <v>0</v>
      </c>
      <c r="D1221" s="18">
        <v>0</v>
      </c>
      <c r="E1221" s="18">
        <v>0</v>
      </c>
    </row>
    <row r="1222" spans="1:5" x14ac:dyDescent="0.25">
      <c r="A1222" s="18">
        <v>1990</v>
      </c>
      <c r="B1222" s="18" t="s">
        <v>84</v>
      </c>
      <c r="C1222" s="18">
        <v>6823</v>
      </c>
      <c r="D1222" s="18">
        <v>3525</v>
      </c>
      <c r="E1222" s="18">
        <v>3298</v>
      </c>
    </row>
    <row r="1223" spans="1:5" x14ac:dyDescent="0.25">
      <c r="A1223" s="18">
        <v>1991</v>
      </c>
      <c r="B1223" s="18" t="s">
        <v>84</v>
      </c>
      <c r="C1223" s="18">
        <v>0</v>
      </c>
      <c r="D1223" s="18">
        <v>0</v>
      </c>
      <c r="E1223" s="18">
        <v>0</v>
      </c>
    </row>
    <row r="1224" spans="1:5" x14ac:dyDescent="0.25">
      <c r="A1224" s="18">
        <v>1992</v>
      </c>
      <c r="B1224" s="18" t="s">
        <v>84</v>
      </c>
      <c r="C1224" s="18">
        <v>0</v>
      </c>
      <c r="D1224" s="18">
        <v>0</v>
      </c>
      <c r="E1224" s="18">
        <v>0</v>
      </c>
    </row>
    <row r="1225" spans="1:5" x14ac:dyDescent="0.25">
      <c r="A1225" s="18">
        <v>1993</v>
      </c>
      <c r="B1225" s="18" t="s">
        <v>84</v>
      </c>
      <c r="C1225" s="18">
        <v>0</v>
      </c>
      <c r="D1225" s="18">
        <v>0</v>
      </c>
      <c r="E1225" s="18">
        <v>0</v>
      </c>
    </row>
    <row r="1226" spans="1:5" x14ac:dyDescent="0.25">
      <c r="A1226" s="18">
        <v>1994</v>
      </c>
      <c r="B1226" s="18" t="s">
        <v>84</v>
      </c>
      <c r="C1226" s="18">
        <v>0</v>
      </c>
      <c r="D1226" s="18">
        <v>0</v>
      </c>
      <c r="E1226" s="18">
        <v>0</v>
      </c>
    </row>
    <row r="1227" spans="1:5" x14ac:dyDescent="0.25">
      <c r="A1227" s="18">
        <v>1995</v>
      </c>
      <c r="B1227" s="18" t="s">
        <v>84</v>
      </c>
      <c r="C1227" s="18">
        <v>0</v>
      </c>
      <c r="D1227" s="18">
        <v>0</v>
      </c>
      <c r="E1227" s="18">
        <v>0</v>
      </c>
    </row>
    <row r="1228" spans="1:5" x14ac:dyDescent="0.25">
      <c r="A1228" s="18">
        <v>1996</v>
      </c>
      <c r="B1228" s="18" t="s">
        <v>84</v>
      </c>
      <c r="C1228" s="18">
        <v>0</v>
      </c>
      <c r="D1228" s="18">
        <v>0</v>
      </c>
      <c r="E1228" s="18">
        <v>0</v>
      </c>
    </row>
    <row r="1229" spans="1:5" x14ac:dyDescent="0.25">
      <c r="A1229" s="18">
        <v>1997</v>
      </c>
      <c r="B1229" s="18" t="s">
        <v>84</v>
      </c>
      <c r="C1229" s="18">
        <v>0</v>
      </c>
      <c r="D1229" s="18">
        <v>0</v>
      </c>
      <c r="E1229" s="18">
        <v>0</v>
      </c>
    </row>
    <row r="1230" spans="1:5" x14ac:dyDescent="0.25">
      <c r="A1230" s="18">
        <v>1998</v>
      </c>
      <c r="B1230" s="18" t="s">
        <v>84</v>
      </c>
      <c r="C1230" s="18">
        <v>0</v>
      </c>
      <c r="D1230" s="18">
        <v>0</v>
      </c>
      <c r="E1230" s="18">
        <v>0</v>
      </c>
    </row>
    <row r="1231" spans="1:5" x14ac:dyDescent="0.25">
      <c r="A1231" s="18">
        <v>1999</v>
      </c>
      <c r="B1231" s="18" t="s">
        <v>84</v>
      </c>
      <c r="C1231" s="18">
        <v>0</v>
      </c>
      <c r="D1231" s="18">
        <v>0</v>
      </c>
      <c r="E1231" s="18">
        <v>0</v>
      </c>
    </row>
    <row r="1232" spans="1:5" x14ac:dyDescent="0.25">
      <c r="A1232" s="18">
        <v>2000</v>
      </c>
      <c r="B1232" s="18" t="s">
        <v>84</v>
      </c>
      <c r="C1232" s="18">
        <v>12963</v>
      </c>
      <c r="D1232" s="18">
        <v>6728</v>
      </c>
      <c r="E1232" s="18">
        <v>6233</v>
      </c>
    </row>
    <row r="1233" spans="1:5" x14ac:dyDescent="0.25">
      <c r="A1233" s="18">
        <v>2001</v>
      </c>
      <c r="B1233" s="18" t="s">
        <v>84</v>
      </c>
      <c r="C1233" s="18">
        <v>0</v>
      </c>
      <c r="D1233" s="18">
        <v>0</v>
      </c>
      <c r="E1233" s="18">
        <v>0</v>
      </c>
    </row>
    <row r="1234" spans="1:5" x14ac:dyDescent="0.25">
      <c r="A1234" s="18">
        <v>2002</v>
      </c>
      <c r="B1234" s="18" t="s">
        <v>84</v>
      </c>
      <c r="C1234" s="18">
        <v>0</v>
      </c>
      <c r="D1234" s="18">
        <v>0</v>
      </c>
      <c r="E1234" s="18">
        <v>0</v>
      </c>
    </row>
    <row r="1235" spans="1:5" x14ac:dyDescent="0.25">
      <c r="A1235" s="18">
        <v>2003</v>
      </c>
      <c r="B1235" s="18" t="s">
        <v>84</v>
      </c>
      <c r="C1235" s="18">
        <v>0</v>
      </c>
      <c r="D1235" s="18">
        <v>0</v>
      </c>
      <c r="E1235" s="18">
        <v>0</v>
      </c>
    </row>
    <row r="1236" spans="1:5" x14ac:dyDescent="0.25">
      <c r="A1236" s="18">
        <v>2004</v>
      </c>
      <c r="B1236" s="18" t="s">
        <v>84</v>
      </c>
      <c r="C1236" s="18">
        <v>0</v>
      </c>
      <c r="D1236" s="18">
        <v>0</v>
      </c>
      <c r="E1236" s="18">
        <v>0</v>
      </c>
    </row>
    <row r="1237" spans="1:5" x14ac:dyDescent="0.25">
      <c r="A1237" s="18">
        <v>2005</v>
      </c>
      <c r="B1237" s="18" t="s">
        <v>84</v>
      </c>
      <c r="C1237" s="18">
        <v>0</v>
      </c>
      <c r="D1237" s="18">
        <v>0</v>
      </c>
      <c r="E1237" s="18">
        <v>0</v>
      </c>
    </row>
    <row r="1238" spans="1:5" x14ac:dyDescent="0.25">
      <c r="A1238" s="18">
        <v>2006</v>
      </c>
      <c r="B1238" s="18" t="s">
        <v>84</v>
      </c>
      <c r="C1238" s="18">
        <v>0</v>
      </c>
      <c r="D1238" s="18">
        <v>0</v>
      </c>
      <c r="E1238" s="18">
        <v>0</v>
      </c>
    </row>
    <row r="1239" spans="1:5" x14ac:dyDescent="0.25">
      <c r="A1239" s="18">
        <v>2007</v>
      </c>
      <c r="B1239" s="18" t="s">
        <v>84</v>
      </c>
      <c r="C1239" s="18">
        <v>0</v>
      </c>
      <c r="D1239" s="18">
        <v>0</v>
      </c>
      <c r="E1239" s="18">
        <v>0</v>
      </c>
    </row>
    <row r="1240" spans="1:5" x14ac:dyDescent="0.25">
      <c r="A1240" s="18">
        <v>2008</v>
      </c>
      <c r="B1240" s="18" t="s">
        <v>84</v>
      </c>
      <c r="C1240" s="18">
        <v>0</v>
      </c>
      <c r="D1240" s="18">
        <v>0</v>
      </c>
      <c r="E1240" s="18">
        <v>0</v>
      </c>
    </row>
    <row r="1241" spans="1:5" x14ac:dyDescent="0.25">
      <c r="A1241" s="18">
        <v>1950</v>
      </c>
      <c r="B1241" s="18" t="s">
        <v>86</v>
      </c>
      <c r="C1241" s="18">
        <v>0</v>
      </c>
      <c r="D1241" s="18">
        <v>0</v>
      </c>
      <c r="E1241" s="18">
        <v>0</v>
      </c>
    </row>
    <row r="1242" spans="1:5" x14ac:dyDescent="0.25">
      <c r="A1242" s="18">
        <v>1951</v>
      </c>
      <c r="B1242" s="18" t="s">
        <v>86</v>
      </c>
      <c r="C1242" s="18">
        <v>0</v>
      </c>
      <c r="D1242" s="18">
        <v>0</v>
      </c>
      <c r="E1242" s="18">
        <v>0</v>
      </c>
    </row>
    <row r="1243" spans="1:5" x14ac:dyDescent="0.25">
      <c r="A1243" s="18">
        <v>1952</v>
      </c>
      <c r="B1243" s="18" t="s">
        <v>86</v>
      </c>
      <c r="C1243" s="18">
        <v>0</v>
      </c>
      <c r="D1243" s="18">
        <v>0</v>
      </c>
      <c r="E1243" s="18">
        <v>0</v>
      </c>
    </row>
    <row r="1244" spans="1:5" x14ac:dyDescent="0.25">
      <c r="A1244" s="18">
        <v>1953</v>
      </c>
      <c r="B1244" s="18" t="s">
        <v>86</v>
      </c>
      <c r="C1244" s="18">
        <v>0</v>
      </c>
      <c r="D1244" s="18">
        <v>0</v>
      </c>
      <c r="E1244" s="18">
        <v>0</v>
      </c>
    </row>
    <row r="1245" spans="1:5" x14ac:dyDescent="0.25">
      <c r="A1245" s="18">
        <v>1954</v>
      </c>
      <c r="B1245" s="18" t="s">
        <v>86</v>
      </c>
      <c r="C1245" s="18">
        <v>0</v>
      </c>
      <c r="D1245" s="18">
        <v>0</v>
      </c>
      <c r="E1245" s="18">
        <v>0</v>
      </c>
    </row>
    <row r="1246" spans="1:5" x14ac:dyDescent="0.25">
      <c r="A1246" s="18">
        <v>1955</v>
      </c>
      <c r="B1246" s="18" t="s">
        <v>86</v>
      </c>
      <c r="C1246" s="18">
        <v>0</v>
      </c>
      <c r="D1246" s="18">
        <v>0</v>
      </c>
      <c r="E1246" s="18">
        <v>0</v>
      </c>
    </row>
    <row r="1247" spans="1:5" x14ac:dyDescent="0.25">
      <c r="A1247" s="18">
        <v>1956</v>
      </c>
      <c r="B1247" s="18" t="s">
        <v>86</v>
      </c>
      <c r="C1247" s="18">
        <v>0</v>
      </c>
      <c r="D1247" s="18">
        <v>0</v>
      </c>
      <c r="E1247" s="18">
        <v>0</v>
      </c>
    </row>
    <row r="1248" spans="1:5" x14ac:dyDescent="0.25">
      <c r="A1248" s="18">
        <v>1957</v>
      </c>
      <c r="B1248" s="18" t="s">
        <v>86</v>
      </c>
      <c r="C1248" s="18">
        <v>0</v>
      </c>
      <c r="D1248" s="18">
        <v>0</v>
      </c>
      <c r="E1248" s="18">
        <v>0</v>
      </c>
    </row>
    <row r="1249" spans="1:5" x14ac:dyDescent="0.25">
      <c r="A1249" s="18">
        <v>1958</v>
      </c>
      <c r="B1249" s="18" t="s">
        <v>86</v>
      </c>
      <c r="C1249" s="18">
        <v>0</v>
      </c>
      <c r="D1249" s="18">
        <v>0</v>
      </c>
      <c r="E1249" s="18">
        <v>0</v>
      </c>
    </row>
    <row r="1250" spans="1:5" x14ac:dyDescent="0.25">
      <c r="A1250" s="18">
        <v>1959</v>
      </c>
      <c r="B1250" s="18" t="s">
        <v>86</v>
      </c>
      <c r="C1250" s="18">
        <v>0</v>
      </c>
      <c r="D1250" s="18">
        <v>0</v>
      </c>
      <c r="E1250" s="18">
        <v>0</v>
      </c>
    </row>
    <row r="1251" spans="1:5" x14ac:dyDescent="0.25">
      <c r="A1251" s="18">
        <v>1960</v>
      </c>
      <c r="B1251" s="18" t="s">
        <v>86</v>
      </c>
      <c r="C1251" s="18">
        <v>0</v>
      </c>
      <c r="D1251" s="18">
        <v>0</v>
      </c>
      <c r="E1251" s="18">
        <v>0</v>
      </c>
    </row>
    <row r="1252" spans="1:5" x14ac:dyDescent="0.25">
      <c r="A1252" s="18">
        <v>1961</v>
      </c>
      <c r="B1252" s="18" t="s">
        <v>86</v>
      </c>
      <c r="C1252" s="18">
        <v>0</v>
      </c>
      <c r="D1252" s="18">
        <v>0</v>
      </c>
      <c r="E1252" s="18">
        <v>0</v>
      </c>
    </row>
    <row r="1253" spans="1:5" x14ac:dyDescent="0.25">
      <c r="A1253" s="18">
        <v>1962</v>
      </c>
      <c r="B1253" s="18" t="s">
        <v>86</v>
      </c>
      <c r="C1253" s="18">
        <v>0</v>
      </c>
      <c r="D1253" s="18">
        <v>0</v>
      </c>
      <c r="E1253" s="18">
        <v>0</v>
      </c>
    </row>
    <row r="1254" spans="1:5" x14ac:dyDescent="0.25">
      <c r="A1254" s="18">
        <v>1963</v>
      </c>
      <c r="B1254" s="18" t="s">
        <v>86</v>
      </c>
      <c r="C1254" s="18">
        <v>0</v>
      </c>
      <c r="D1254" s="18">
        <v>0</v>
      </c>
      <c r="E1254" s="18">
        <v>0</v>
      </c>
    </row>
    <row r="1255" spans="1:5" x14ac:dyDescent="0.25">
      <c r="A1255" s="18">
        <v>1964</v>
      </c>
      <c r="B1255" s="18" t="s">
        <v>86</v>
      </c>
      <c r="C1255" s="18">
        <v>0</v>
      </c>
      <c r="D1255" s="18">
        <v>0</v>
      </c>
      <c r="E1255" s="18">
        <v>0</v>
      </c>
    </row>
    <row r="1256" spans="1:5" x14ac:dyDescent="0.25">
      <c r="A1256" s="18">
        <v>1965</v>
      </c>
      <c r="B1256" s="18" t="s">
        <v>86</v>
      </c>
      <c r="C1256" s="18">
        <v>0</v>
      </c>
      <c r="D1256" s="18">
        <v>0</v>
      </c>
      <c r="E1256" s="18">
        <v>0</v>
      </c>
    </row>
    <row r="1257" spans="1:5" x14ac:dyDescent="0.25">
      <c r="A1257" s="18">
        <v>1966</v>
      </c>
      <c r="B1257" s="18" t="s">
        <v>86</v>
      </c>
      <c r="C1257" s="18">
        <v>0</v>
      </c>
      <c r="D1257" s="18">
        <v>0</v>
      </c>
      <c r="E1257" s="18">
        <v>0</v>
      </c>
    </row>
    <row r="1258" spans="1:5" x14ac:dyDescent="0.25">
      <c r="A1258" s="18">
        <v>1967</v>
      </c>
      <c r="B1258" s="18" t="s">
        <v>86</v>
      </c>
      <c r="C1258" s="18">
        <v>0</v>
      </c>
      <c r="D1258" s="18">
        <v>0</v>
      </c>
      <c r="E1258" s="18">
        <v>0</v>
      </c>
    </row>
    <row r="1259" spans="1:5" x14ac:dyDescent="0.25">
      <c r="A1259" s="18">
        <v>1968</v>
      </c>
      <c r="B1259" s="18" t="s">
        <v>86</v>
      </c>
      <c r="C1259" s="18">
        <v>0</v>
      </c>
      <c r="D1259" s="18">
        <v>0</v>
      </c>
      <c r="E1259" s="18">
        <v>0</v>
      </c>
    </row>
    <row r="1260" spans="1:5" x14ac:dyDescent="0.25">
      <c r="A1260" s="18">
        <v>1969</v>
      </c>
      <c r="B1260" s="18" t="s">
        <v>86</v>
      </c>
      <c r="C1260" s="18">
        <v>0</v>
      </c>
      <c r="D1260" s="18">
        <v>0</v>
      </c>
      <c r="E1260" s="18">
        <v>0</v>
      </c>
    </row>
    <row r="1261" spans="1:5" x14ac:dyDescent="0.25">
      <c r="A1261" s="18">
        <v>1970</v>
      </c>
      <c r="B1261" s="18" t="s">
        <v>86</v>
      </c>
      <c r="C1261" s="18">
        <v>0</v>
      </c>
      <c r="D1261" s="18">
        <v>0</v>
      </c>
      <c r="E1261" s="18">
        <v>0</v>
      </c>
    </row>
    <row r="1262" spans="1:5" x14ac:dyDescent="0.25">
      <c r="A1262" s="18">
        <v>1971</v>
      </c>
      <c r="B1262" s="18" t="s">
        <v>86</v>
      </c>
      <c r="C1262" s="18">
        <v>0</v>
      </c>
      <c r="D1262" s="18">
        <v>0</v>
      </c>
      <c r="E1262" s="18">
        <v>0</v>
      </c>
    </row>
    <row r="1263" spans="1:5" x14ac:dyDescent="0.25">
      <c r="A1263" s="18">
        <v>1972</v>
      </c>
      <c r="B1263" s="18" t="s">
        <v>86</v>
      </c>
      <c r="C1263" s="18">
        <v>0</v>
      </c>
      <c r="D1263" s="18">
        <v>0</v>
      </c>
      <c r="E1263" s="18">
        <v>0</v>
      </c>
    </row>
    <row r="1264" spans="1:5" x14ac:dyDescent="0.25">
      <c r="A1264" s="18">
        <v>1973</v>
      </c>
      <c r="B1264" s="18" t="s">
        <v>86</v>
      </c>
      <c r="C1264" s="18">
        <v>0</v>
      </c>
      <c r="D1264" s="18">
        <v>0</v>
      </c>
      <c r="E1264" s="18">
        <v>0</v>
      </c>
    </row>
    <row r="1265" spans="1:5" x14ac:dyDescent="0.25">
      <c r="A1265" s="18">
        <v>1974</v>
      </c>
      <c r="B1265" s="18" t="s">
        <v>86</v>
      </c>
      <c r="C1265" s="18">
        <v>0</v>
      </c>
      <c r="D1265" s="18">
        <v>0</v>
      </c>
      <c r="E1265" s="18">
        <v>0</v>
      </c>
    </row>
    <row r="1266" spans="1:5" x14ac:dyDescent="0.25">
      <c r="A1266" s="18">
        <v>1975</v>
      </c>
      <c r="B1266" s="18" t="s">
        <v>86</v>
      </c>
      <c r="C1266" s="18">
        <v>2815</v>
      </c>
      <c r="D1266" s="18">
        <v>1449</v>
      </c>
      <c r="E1266" s="18">
        <v>1366</v>
      </c>
    </row>
    <row r="1267" spans="1:5" x14ac:dyDescent="0.25">
      <c r="A1267" s="18">
        <v>1976</v>
      </c>
      <c r="B1267" s="18" t="s">
        <v>86</v>
      </c>
      <c r="C1267" s="18">
        <v>0</v>
      </c>
      <c r="D1267" s="18">
        <v>0</v>
      </c>
      <c r="E1267" s="18">
        <v>0</v>
      </c>
    </row>
    <row r="1268" spans="1:5" x14ac:dyDescent="0.25">
      <c r="A1268" s="18">
        <v>1977</v>
      </c>
      <c r="B1268" s="18" t="s">
        <v>86</v>
      </c>
      <c r="C1268" s="18">
        <v>0</v>
      </c>
      <c r="D1268" s="18">
        <v>0</v>
      </c>
      <c r="E1268" s="18">
        <v>0</v>
      </c>
    </row>
    <row r="1269" spans="1:5" x14ac:dyDescent="0.25">
      <c r="A1269" s="18">
        <v>1978</v>
      </c>
      <c r="B1269" s="18" t="s">
        <v>86</v>
      </c>
      <c r="C1269" s="18">
        <v>0</v>
      </c>
      <c r="D1269" s="18">
        <v>0</v>
      </c>
      <c r="E1269" s="18">
        <v>0</v>
      </c>
    </row>
    <row r="1270" spans="1:5" x14ac:dyDescent="0.25">
      <c r="A1270" s="18">
        <v>1979</v>
      </c>
      <c r="B1270" s="18" t="s">
        <v>86</v>
      </c>
      <c r="C1270" s="18">
        <v>0</v>
      </c>
      <c r="D1270" s="18">
        <v>0</v>
      </c>
      <c r="E1270" s="18">
        <v>0</v>
      </c>
    </row>
    <row r="1271" spans="1:5" x14ac:dyDescent="0.25">
      <c r="A1271" s="18">
        <v>1980</v>
      </c>
      <c r="B1271" s="18" t="s">
        <v>86</v>
      </c>
      <c r="C1271" s="18">
        <v>2889</v>
      </c>
      <c r="D1271" s="18">
        <v>1465</v>
      </c>
      <c r="E1271" s="18">
        <v>1423</v>
      </c>
    </row>
    <row r="1272" spans="1:5" x14ac:dyDescent="0.25">
      <c r="A1272" s="18">
        <v>1981</v>
      </c>
      <c r="B1272" s="18" t="s">
        <v>86</v>
      </c>
      <c r="C1272" s="18">
        <v>0</v>
      </c>
      <c r="D1272" s="18">
        <v>0</v>
      </c>
      <c r="E1272" s="18">
        <v>0</v>
      </c>
    </row>
    <row r="1273" spans="1:5" x14ac:dyDescent="0.25">
      <c r="A1273" s="18">
        <v>1982</v>
      </c>
      <c r="B1273" s="18" t="s">
        <v>86</v>
      </c>
      <c r="C1273" s="18">
        <v>0</v>
      </c>
      <c r="D1273" s="18">
        <v>0</v>
      </c>
      <c r="E1273" s="18">
        <v>0</v>
      </c>
    </row>
    <row r="1274" spans="1:5" x14ac:dyDescent="0.25">
      <c r="A1274" s="18">
        <v>1983</v>
      </c>
      <c r="B1274" s="18" t="s">
        <v>86</v>
      </c>
      <c r="C1274" s="18">
        <v>0</v>
      </c>
      <c r="D1274" s="18">
        <v>0</v>
      </c>
      <c r="E1274" s="18">
        <v>0</v>
      </c>
    </row>
    <row r="1275" spans="1:5" x14ac:dyDescent="0.25">
      <c r="A1275" s="18">
        <v>1984</v>
      </c>
      <c r="B1275" s="18" t="s">
        <v>86</v>
      </c>
      <c r="C1275" s="18">
        <v>0</v>
      </c>
      <c r="D1275" s="18">
        <v>0</v>
      </c>
      <c r="E1275" s="18">
        <v>0</v>
      </c>
    </row>
    <row r="1276" spans="1:5" x14ac:dyDescent="0.25">
      <c r="A1276" s="18">
        <v>1985</v>
      </c>
      <c r="B1276" s="18" t="s">
        <v>86</v>
      </c>
      <c r="C1276" s="18">
        <v>3080</v>
      </c>
      <c r="D1276" s="18">
        <v>1549</v>
      </c>
      <c r="E1276" s="18">
        <v>1531</v>
      </c>
    </row>
    <row r="1277" spans="1:5" x14ac:dyDescent="0.25">
      <c r="A1277" s="18">
        <v>1986</v>
      </c>
      <c r="B1277" s="18" t="s">
        <v>86</v>
      </c>
      <c r="C1277" s="18">
        <v>0</v>
      </c>
      <c r="D1277" s="18">
        <v>0</v>
      </c>
      <c r="E1277" s="18">
        <v>0</v>
      </c>
    </row>
    <row r="1278" spans="1:5" x14ac:dyDescent="0.25">
      <c r="A1278" s="18">
        <v>1987</v>
      </c>
      <c r="B1278" s="18" t="s">
        <v>86</v>
      </c>
      <c r="C1278" s="18">
        <v>0</v>
      </c>
      <c r="D1278" s="18">
        <v>0</v>
      </c>
      <c r="E1278" s="18">
        <v>0</v>
      </c>
    </row>
    <row r="1279" spans="1:5" x14ac:dyDescent="0.25">
      <c r="A1279" s="18">
        <v>1988</v>
      </c>
      <c r="B1279" s="18" t="s">
        <v>86</v>
      </c>
      <c r="C1279" s="18">
        <v>0</v>
      </c>
      <c r="D1279" s="18">
        <v>0</v>
      </c>
      <c r="E1279" s="18">
        <v>0</v>
      </c>
    </row>
    <row r="1280" spans="1:5" x14ac:dyDescent="0.25">
      <c r="A1280" s="18">
        <v>1989</v>
      </c>
      <c r="B1280" s="18" t="s">
        <v>86</v>
      </c>
      <c r="C1280" s="18">
        <v>0</v>
      </c>
      <c r="D1280" s="18">
        <v>0</v>
      </c>
      <c r="E1280" s="18">
        <v>0</v>
      </c>
    </row>
    <row r="1281" spans="1:5" x14ac:dyDescent="0.25">
      <c r="A1281" s="18">
        <v>1990</v>
      </c>
      <c r="B1281" s="18" t="s">
        <v>86</v>
      </c>
      <c r="C1281" s="18">
        <v>4419</v>
      </c>
      <c r="D1281" s="18">
        <v>2306</v>
      </c>
      <c r="E1281" s="18">
        <v>2113</v>
      </c>
    </row>
    <row r="1282" spans="1:5" x14ac:dyDescent="0.25">
      <c r="A1282" s="18">
        <v>1991</v>
      </c>
      <c r="B1282" s="18" t="s">
        <v>86</v>
      </c>
      <c r="C1282" s="18">
        <v>0</v>
      </c>
      <c r="D1282" s="18">
        <v>0</v>
      </c>
      <c r="E1282" s="18">
        <v>0</v>
      </c>
    </row>
    <row r="1283" spans="1:5" x14ac:dyDescent="0.25">
      <c r="A1283" s="18">
        <v>1992</v>
      </c>
      <c r="B1283" s="18" t="s">
        <v>86</v>
      </c>
      <c r="C1283" s="18">
        <v>0</v>
      </c>
      <c r="D1283" s="18">
        <v>0</v>
      </c>
      <c r="E1283" s="18">
        <v>0</v>
      </c>
    </row>
    <row r="1284" spans="1:5" x14ac:dyDescent="0.25">
      <c r="A1284" s="18">
        <v>1993</v>
      </c>
      <c r="B1284" s="18" t="s">
        <v>86</v>
      </c>
      <c r="C1284" s="18">
        <v>0</v>
      </c>
      <c r="D1284" s="18">
        <v>0</v>
      </c>
      <c r="E1284" s="18">
        <v>0</v>
      </c>
    </row>
    <row r="1285" spans="1:5" x14ac:dyDescent="0.25">
      <c r="A1285" s="18">
        <v>1994</v>
      </c>
      <c r="B1285" s="18" t="s">
        <v>86</v>
      </c>
      <c r="C1285" s="18">
        <v>0</v>
      </c>
      <c r="D1285" s="18">
        <v>0</v>
      </c>
      <c r="E1285" s="18">
        <v>0</v>
      </c>
    </row>
    <row r="1286" spans="1:5" x14ac:dyDescent="0.25">
      <c r="A1286" s="18">
        <v>1995</v>
      </c>
      <c r="B1286" s="18" t="s">
        <v>86</v>
      </c>
      <c r="C1286" s="18">
        <v>0</v>
      </c>
      <c r="D1286" s="18">
        <v>0</v>
      </c>
      <c r="E1286" s="18">
        <v>0</v>
      </c>
    </row>
    <row r="1287" spans="1:5" x14ac:dyDescent="0.25">
      <c r="A1287" s="18">
        <v>1996</v>
      </c>
      <c r="B1287" s="18" t="s">
        <v>86</v>
      </c>
      <c r="C1287" s="18">
        <v>0</v>
      </c>
      <c r="D1287" s="18">
        <v>0</v>
      </c>
      <c r="E1287" s="18">
        <v>0</v>
      </c>
    </row>
    <row r="1288" spans="1:5" x14ac:dyDescent="0.25">
      <c r="A1288" s="18">
        <v>1997</v>
      </c>
      <c r="B1288" s="18" t="s">
        <v>86</v>
      </c>
      <c r="C1288" s="18">
        <v>0</v>
      </c>
      <c r="D1288" s="18">
        <v>0</v>
      </c>
      <c r="E1288" s="18">
        <v>0</v>
      </c>
    </row>
    <row r="1289" spans="1:5" x14ac:dyDescent="0.25">
      <c r="A1289" s="18">
        <v>1998</v>
      </c>
      <c r="B1289" s="18" t="s">
        <v>86</v>
      </c>
      <c r="C1289" s="18">
        <v>0</v>
      </c>
      <c r="D1289" s="18">
        <v>0</v>
      </c>
      <c r="E1289" s="18">
        <v>0</v>
      </c>
    </row>
    <row r="1290" spans="1:5" x14ac:dyDescent="0.25">
      <c r="A1290" s="18">
        <v>1999</v>
      </c>
      <c r="B1290" s="18" t="s">
        <v>86</v>
      </c>
      <c r="C1290" s="18">
        <v>0</v>
      </c>
      <c r="D1290" s="18">
        <v>0</v>
      </c>
      <c r="E1290" s="18">
        <v>0</v>
      </c>
    </row>
    <row r="1291" spans="1:5" x14ac:dyDescent="0.25">
      <c r="A1291" s="18">
        <v>2000</v>
      </c>
      <c r="B1291" s="18" t="s">
        <v>86</v>
      </c>
      <c r="C1291" s="18">
        <v>5751</v>
      </c>
      <c r="D1291" s="18">
        <v>2999</v>
      </c>
      <c r="E1291" s="18">
        <v>2752</v>
      </c>
    </row>
    <row r="1292" spans="1:5" x14ac:dyDescent="0.25">
      <c r="A1292" s="18">
        <v>2001</v>
      </c>
      <c r="B1292" s="18" t="s">
        <v>86</v>
      </c>
      <c r="C1292" s="18">
        <v>0</v>
      </c>
      <c r="D1292" s="18">
        <v>0</v>
      </c>
      <c r="E1292" s="18">
        <v>0</v>
      </c>
    </row>
    <row r="1293" spans="1:5" x14ac:dyDescent="0.25">
      <c r="A1293" s="18">
        <v>2002</v>
      </c>
      <c r="B1293" s="18" t="s">
        <v>86</v>
      </c>
      <c r="C1293" s="18">
        <v>0</v>
      </c>
      <c r="D1293" s="18">
        <v>0</v>
      </c>
      <c r="E1293" s="18">
        <v>0</v>
      </c>
    </row>
    <row r="1294" spans="1:5" x14ac:dyDescent="0.25">
      <c r="A1294" s="18">
        <v>2003</v>
      </c>
      <c r="B1294" s="18" t="s">
        <v>86</v>
      </c>
      <c r="C1294" s="18">
        <v>0</v>
      </c>
      <c r="D1294" s="18">
        <v>0</v>
      </c>
      <c r="E1294" s="18">
        <v>0</v>
      </c>
    </row>
    <row r="1295" spans="1:5" x14ac:dyDescent="0.25">
      <c r="A1295" s="18">
        <v>2004</v>
      </c>
      <c r="B1295" s="18" t="s">
        <v>86</v>
      </c>
      <c r="C1295" s="18">
        <v>0</v>
      </c>
      <c r="D1295" s="18">
        <v>0</v>
      </c>
      <c r="E1295" s="18">
        <v>0</v>
      </c>
    </row>
    <row r="1296" spans="1:5" x14ac:dyDescent="0.25">
      <c r="A1296" s="18">
        <v>2005</v>
      </c>
      <c r="B1296" s="18" t="s">
        <v>86</v>
      </c>
      <c r="C1296" s="18">
        <v>0</v>
      </c>
      <c r="D1296" s="18">
        <v>0</v>
      </c>
      <c r="E1296" s="18">
        <v>0</v>
      </c>
    </row>
    <row r="1297" spans="1:5" x14ac:dyDescent="0.25">
      <c r="A1297" s="18">
        <v>2006</v>
      </c>
      <c r="B1297" s="18" t="s">
        <v>86</v>
      </c>
      <c r="C1297" s="18">
        <v>0</v>
      </c>
      <c r="D1297" s="18">
        <v>0</v>
      </c>
      <c r="E1297" s="18">
        <v>0</v>
      </c>
    </row>
    <row r="1298" spans="1:5" x14ac:dyDescent="0.25">
      <c r="A1298" s="18">
        <v>2007</v>
      </c>
      <c r="B1298" s="18" t="s">
        <v>86</v>
      </c>
      <c r="C1298" s="18">
        <v>0</v>
      </c>
      <c r="D1298" s="18">
        <v>0</v>
      </c>
      <c r="E1298" s="18">
        <v>0</v>
      </c>
    </row>
    <row r="1299" spans="1:5" x14ac:dyDescent="0.25">
      <c r="A1299" s="18">
        <v>2008</v>
      </c>
      <c r="B1299" s="18" t="s">
        <v>86</v>
      </c>
      <c r="C1299" s="18">
        <v>0</v>
      </c>
      <c r="D1299" s="18">
        <v>0</v>
      </c>
      <c r="E1299" s="18">
        <v>0</v>
      </c>
    </row>
  </sheetData>
  <autoFilter ref="A1:E1299" xr:uid="{129C5C9F-CA64-405C-ABF8-2A1634F7F06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3</vt:i4>
      </vt:variant>
    </vt:vector>
  </HeadingPairs>
  <TitlesOfParts>
    <vt:vector size="9" baseType="lpstr">
      <vt:lpstr>Sayfa1</vt:lpstr>
      <vt:lpstr>0-AGE ESTIMATION</vt:lpstr>
      <vt:lpstr>İller</vt:lpstr>
      <vt:lpstr>Tek iller</vt:lpstr>
      <vt:lpstr>Ank-İst-İzm</vt:lpstr>
      <vt:lpstr>EKSİ ÇIKAN İLLER</vt:lpstr>
      <vt:lpstr>İller!_VeritabaniniFiltrele</vt:lpstr>
      <vt:lpstr>'0-AGE ESTIMATION'!Yazdırma_Alanı</vt:lpstr>
      <vt:lpstr>'0-AGE ESTIMATION'!Yazdırma_Başlıkları</vt:lpstr>
    </vt:vector>
  </TitlesOfParts>
  <Company>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Sahin BINGOL</dc:creator>
  <cp:lastModifiedBy>Sahin BINGOL</cp:lastModifiedBy>
  <cp:lastPrinted>2025-07-22T12:01:06Z</cp:lastPrinted>
  <dcterms:created xsi:type="dcterms:W3CDTF">2025-06-30T08:05:08Z</dcterms:created>
  <dcterms:modified xsi:type="dcterms:W3CDTF">2025-10-08T11:30:00Z</dcterms:modified>
</cp:coreProperties>
</file>